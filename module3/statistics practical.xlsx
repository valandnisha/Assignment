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S\Downloads\"/>
    </mc:Choice>
  </mc:AlternateContent>
  <xr:revisionPtr revIDLastSave="0" documentId="8_{E14399A2-802B-42DD-8EDF-BB853FF6B745}" xr6:coauthVersionLast="47" xr6:coauthVersionMax="47" xr10:uidLastSave="{00000000-0000-0000-0000-000000000000}"/>
  <bookViews>
    <workbookView xWindow="-120" yWindow="-120" windowWidth="20730" windowHeight="11160" firstSheet="1" xr2:uid="{ECF483E2-0EA6-475B-95E9-54CB058A8297}"/>
  </bookViews>
  <sheets>
    <sheet name="Descriptive " sheetId="2" r:id="rId1"/>
    <sheet name="frequency distribution" sheetId="1" r:id="rId2"/>
    <sheet name="one sample t - test" sheetId="3" r:id="rId3"/>
    <sheet name="independent-2 sample t test" sheetId="4" r:id="rId4"/>
    <sheet name="paired t - test" sheetId="5" r:id="rId5"/>
    <sheet name="Z - test" sheetId="6" r:id="rId6"/>
    <sheet name="chi-square" sheetId="7" r:id="rId7"/>
    <sheet name="ANOVA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2" l="1"/>
  <c r="F6" i="2"/>
  <c r="R17" i="9"/>
  <c r="R16" i="9"/>
  <c r="R15" i="9"/>
  <c r="R13" i="9"/>
  <c r="R12" i="9"/>
  <c r="R10" i="9"/>
  <c r="R9" i="9"/>
  <c r="R7" i="9"/>
  <c r="S5" i="9"/>
  <c r="T5" i="9"/>
  <c r="R5" i="9"/>
  <c r="R2" i="9"/>
  <c r="O6" i="9"/>
  <c r="O5" i="9"/>
  <c r="O4" i="9"/>
  <c r="O3" i="9"/>
  <c r="H12" i="7"/>
  <c r="H10" i="7"/>
  <c r="C11" i="7"/>
  <c r="C12" i="7"/>
  <c r="C13" i="7"/>
  <c r="C10" i="7"/>
  <c r="B11" i="7"/>
  <c r="B12" i="7"/>
  <c r="B13" i="7"/>
  <c r="B10" i="7"/>
  <c r="I3" i="7"/>
  <c r="I4" i="7"/>
  <c r="I5" i="7"/>
  <c r="I2" i="7"/>
  <c r="H5" i="7"/>
  <c r="H3" i="7"/>
  <c r="H4" i="7"/>
  <c r="H2" i="7"/>
  <c r="B16" i="6" l="1"/>
  <c r="B15" i="6"/>
  <c r="E35" i="3"/>
  <c r="E34" i="3"/>
  <c r="E33" i="3"/>
  <c r="E32" i="3"/>
  <c r="E26" i="3"/>
  <c r="E25" i="3"/>
  <c r="E23" i="3"/>
  <c r="E22" i="3"/>
  <c r="E21" i="3"/>
  <c r="E20" i="3"/>
  <c r="C9" i="3"/>
  <c r="D7" i="3"/>
  <c r="D6" i="3"/>
  <c r="D5" i="3"/>
  <c r="D4" i="3"/>
  <c r="E9" i="2"/>
  <c r="E8" i="2"/>
  <c r="E7" i="2"/>
  <c r="E6" i="2"/>
  <c r="D3" i="2"/>
  <c r="E4" i="2"/>
  <c r="D4" i="2"/>
  <c r="D2" i="2"/>
</calcChain>
</file>

<file path=xl/sharedStrings.xml><?xml version="1.0" encoding="utf-8"?>
<sst xmlns="http://schemas.openxmlformats.org/spreadsheetml/2006/main" count="336" uniqueCount="157">
  <si>
    <t>Student</t>
  </si>
  <si>
    <t>Test Score</t>
  </si>
  <si>
    <t>Bin</t>
  </si>
  <si>
    <t>More</t>
  </si>
  <si>
    <t>Frequency</t>
  </si>
  <si>
    <t>mean</t>
  </si>
  <si>
    <t>median</t>
  </si>
  <si>
    <t>mode</t>
  </si>
  <si>
    <t>{=MODE.MULT(A1:A25)}</t>
  </si>
  <si>
    <t>variance.pop</t>
  </si>
  <si>
    <t>variance.sam</t>
  </si>
  <si>
    <t>std.pop</t>
  </si>
  <si>
    <t>std.sam</t>
  </si>
  <si>
    <t>weights</t>
  </si>
  <si>
    <t xml:space="preserve">pop mean </t>
  </si>
  <si>
    <t>n</t>
  </si>
  <si>
    <t>sam_std</t>
  </si>
  <si>
    <t>sam_mean</t>
  </si>
  <si>
    <t>T_stat</t>
  </si>
  <si>
    <t>p_value</t>
  </si>
  <si>
    <t>mean = 50</t>
  </si>
  <si>
    <t>Ho</t>
  </si>
  <si>
    <t>M = 75</t>
  </si>
  <si>
    <t>Ha</t>
  </si>
  <si>
    <t>M!=75</t>
  </si>
  <si>
    <t>df</t>
  </si>
  <si>
    <t>alpha</t>
  </si>
  <si>
    <t>t_stat</t>
  </si>
  <si>
    <t>Shot #</t>
  </si>
  <si>
    <t>Caffeine (mg)</t>
  </si>
  <si>
    <t>pop_mean</t>
  </si>
  <si>
    <t>sam_ m</t>
  </si>
  <si>
    <t>Online Students</t>
  </si>
  <si>
    <t>In-Person Students</t>
  </si>
  <si>
    <t>M1=M2</t>
  </si>
  <si>
    <t>M1!=M2</t>
  </si>
  <si>
    <t xml:space="preserve">LOS 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</si>
  <si>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</si>
  <si>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</si>
  <si>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</si>
  <si>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</si>
  <si>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</si>
  <si>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</si>
  <si>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</si>
  <si>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</si>
  <si>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</si>
  <si>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</si>
  <si>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</si>
  <si>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Participant</t>
  </si>
  <si>
    <t>Before (kg)</t>
  </si>
  <si>
    <t>After (kg)</t>
  </si>
  <si>
    <t>t-Test: Paired Two Sample for Means</t>
  </si>
  <si>
    <t>Pearson Correlation</t>
  </si>
  <si>
    <r>
      <t xml:space="preserve">Use cases for </t>
    </r>
    <r>
      <rPr>
        <sz val="10"/>
        <color theme="1"/>
        <rFont val="Arial Unicode MS"/>
      </rPr>
      <t>NORM.S.DIST</t>
    </r>
    <r>
      <rPr>
        <sz val="11"/>
        <color theme="1"/>
        <rFont val="Calibri"/>
        <family val="2"/>
        <scheme val="minor"/>
      </rPr>
      <t>:</t>
    </r>
  </si>
  <si>
    <r>
      <t xml:space="preserve">Use cases for </t>
    </r>
    <r>
      <rPr>
        <sz val="10"/>
        <color theme="1"/>
        <rFont val="Arial Unicode MS"/>
      </rPr>
      <t>Z.TEST</t>
    </r>
    <r>
      <rPr>
        <sz val="11"/>
        <color theme="1"/>
        <rFont val="Calibri"/>
        <family val="2"/>
        <scheme val="minor"/>
      </rPr>
      <t>:</t>
    </r>
  </si>
  <si>
    <t>Test Type</t>
  </si>
  <si>
    <t>Formula Example</t>
  </si>
  <si>
    <t>Explanation</t>
  </si>
  <si>
    <t>Formula</t>
  </si>
  <si>
    <t>Left-tailed</t>
  </si>
  <si>
    <t>NORM.S.DIST(Z, TRUE)</t>
  </si>
  <si>
    <t>p-value = area to left of Z</t>
  </si>
  <si>
    <t>Right-tailed</t>
  </si>
  <si>
    <t>Z.TEST(array, μ0, σ)</t>
  </si>
  <si>
    <t>Default — returns right-tail p-value</t>
  </si>
  <si>
    <t>1 - NORM.S.DIST(Z, TRUE)</t>
  </si>
  <si>
    <t>p-value = area to right of Z</t>
  </si>
  <si>
    <t>1 - Z.TEST(array, μ0, σ)</t>
  </si>
  <si>
    <t>Reverse the tail</t>
  </si>
  <si>
    <t>Two-tailed</t>
  </si>
  <si>
    <t>2*(1 - NORM.S.DIST(ABS(Z), TRUE))</t>
  </si>
  <si>
    <t>p-value = both sides (double area)</t>
  </si>
  <si>
    <t>2 * MIN(Z.TEST(array, μ0, σ), 1 - Z.TEST(array, μ0, σ))</t>
  </si>
  <si>
    <t>Double the smaller tail</t>
  </si>
  <si>
    <t xml:space="preserve">pop_mean </t>
  </si>
  <si>
    <t>pop_std</t>
  </si>
  <si>
    <t>z_test</t>
  </si>
  <si>
    <t>Age Group</t>
  </si>
  <si>
    <t>Prefer Product</t>
  </si>
  <si>
    <t>Do Not Prefer Product</t>
  </si>
  <si>
    <t>Total</t>
  </si>
  <si>
    <t>18-25</t>
  </si>
  <si>
    <t>26-35</t>
  </si>
  <si>
    <t>36-45</t>
  </si>
  <si>
    <t>46+</t>
  </si>
  <si>
    <t>chi_square</t>
  </si>
  <si>
    <t>One-Way ANOVA</t>
  </si>
  <si>
    <t>Store A</t>
  </si>
  <si>
    <t>Store B</t>
  </si>
  <si>
    <t>Store C</t>
  </si>
  <si>
    <t>calculate mean</t>
  </si>
  <si>
    <t>x_b</t>
  </si>
  <si>
    <t>x_c</t>
  </si>
  <si>
    <t>grand</t>
  </si>
  <si>
    <t>N</t>
  </si>
  <si>
    <t>x_A</t>
  </si>
  <si>
    <t>ssb</t>
  </si>
  <si>
    <t>ssw</t>
  </si>
  <si>
    <t>a</t>
  </si>
  <si>
    <t>b</t>
  </si>
  <si>
    <t>c</t>
  </si>
  <si>
    <t>df_b</t>
  </si>
  <si>
    <t>k</t>
  </si>
  <si>
    <t>df_w</t>
  </si>
  <si>
    <t>MSB</t>
  </si>
  <si>
    <t>MSW</t>
  </si>
  <si>
    <t>F_STAT</t>
  </si>
  <si>
    <t>P_VALUE</t>
  </si>
  <si>
    <t>F_CRITICAL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</si>
  <si>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</si>
  <si>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</si>
  <si>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</si>
  <si>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</si>
  <si>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</si>
  <si>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</si>
  <si>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</si>
  <si>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</si>
  <si>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</si>
  <si>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</si>
  <si>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</si>
  <si>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</si>
  <si>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</si>
  <si>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</si>
  <si>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</si>
  <si>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Method A</t>
  </si>
  <si>
    <t>Method B</t>
  </si>
  <si>
    <t>Method C</t>
  </si>
  <si>
    <t>Shift1</t>
  </si>
  <si>
    <t>Shift2</t>
  </si>
  <si>
    <t>Shift3</t>
  </si>
  <si>
    <t>Shift4</t>
  </si>
  <si>
    <t>M1</t>
  </si>
  <si>
    <t>M2</t>
  </si>
  <si>
    <t>M3</t>
  </si>
  <si>
    <t>For rows</t>
  </si>
  <si>
    <t>All machines produce same mean output</t>
  </si>
  <si>
    <t>H1</t>
  </si>
  <si>
    <t>Atleast one machine's mean output is different</t>
  </si>
  <si>
    <t>For Columns</t>
  </si>
  <si>
    <t>All shifts have same mean output</t>
  </si>
  <si>
    <t>Atleast one shift's mean output is different</t>
  </si>
  <si>
    <t>Rows</t>
  </si>
  <si>
    <t>Columns</t>
  </si>
  <si>
    <t>Error</t>
  </si>
  <si>
    <t>Anova: Two-Factor With Replication</t>
  </si>
  <si>
    <t>Gender</t>
  </si>
  <si>
    <t>Traditional</t>
  </si>
  <si>
    <t>Online</t>
  </si>
  <si>
    <t>Male 1</t>
  </si>
  <si>
    <t>Male 2</t>
  </si>
  <si>
    <t>Male 3</t>
  </si>
  <si>
    <t>Female 1</t>
  </si>
  <si>
    <t>Female 2</t>
  </si>
  <si>
    <t>Female 3</t>
  </si>
  <si>
    <t>Sample</t>
  </si>
  <si>
    <t>Interaction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</si>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</sst>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/>
    <xf numFmtId="0" fontId="3" fillId="0" borderId="0" xfId="0" applyFont="1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8" fillId="0" borderId="8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'frequency distribution'!$D$2:$D$12</c:f>
              <c:strCach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10">
                  <c:v>More</c:v>
                </c:pt>
              </c:strCache>
            </c:strRef>
          </c:cat>
          <c:val>
            <c:numRef>
              <c:f>'frequency distribution'!$E$2:$E$12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7</c:v>
                </c:pt>
                <c:pt idx="8">
                  <c:v>10</c:v>
                </c:pt>
                <c:pt idx="9">
                  <c:v>2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80-4F76-AC61-CE5CC748E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348456"/>
        <c:axId val="624345576"/>
      </c:barChart>
      <c:catAx>
        <c:axId val="624348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4345576"/>
        <c:crosses val="autoZero"/>
        <c:auto val="1"/>
        <c:lblAlgn val="ctr"/>
        <c:lblOffset val="100"/>
        <c:noMultiLvlLbl val="0"/>
      </c:catAx>
      <c:valAx>
        <c:axId val="624345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4348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12</xdr:row>
      <xdr:rowOff>171450</xdr:rowOff>
    </xdr:from>
    <xdr:to>
      <xdr:col>8</xdr:col>
      <xdr:colOff>352425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34246-D430-C57B-C83E-676F1C952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8</xdr:row>
      <xdr:rowOff>90487</xdr:rowOff>
    </xdr:from>
    <xdr:to>
      <xdr:col>11</xdr:col>
      <xdr:colOff>28575</xdr:colOff>
      <xdr:row>13</xdr:row>
      <xdr:rowOff>52387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3570D4-80B1-68F0-9F35-36B8FF4E5933}"/>
            </a:ext>
          </a:extLst>
        </xdr:cNvPr>
        <xdr:cNvSpPr txBox="1"/>
      </xdr:nvSpPr>
      <xdr:spPr>
        <a:xfrm>
          <a:off x="5819775" y="1614487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12</xdr:col>
      <xdr:colOff>95249</xdr:colOff>
      <xdr:row>1</xdr:row>
      <xdr:rowOff>85726</xdr:rowOff>
    </xdr:from>
    <xdr:to>
      <xdr:col>18</xdr:col>
      <xdr:colOff>219074</xdr:colOff>
      <xdr:row>7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1D219-79F1-B442-1AE5-9A2FF5DA1D70}"/>
            </a:ext>
          </a:extLst>
        </xdr:cNvPr>
        <xdr:cNvSpPr txBox="1"/>
      </xdr:nvSpPr>
      <xdr:spPr>
        <a:xfrm>
          <a:off x="7410449" y="276226"/>
          <a:ext cx="3781425" cy="1114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Question: A factory claims that the average weight of a product is 50 kg. A random sample of 10 products has the following weights (in kg): 49.8, 50.2, 50.1, 49.9, 50.0, 50.3, 50.4, 49.7, 50.1, 49.8. Test if the average weight is significantly different from 50 kg at a 5% significance level.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8</xdr:col>
      <xdr:colOff>333374</xdr:colOff>
      <xdr:row>28</xdr:row>
      <xdr:rowOff>90487</xdr:rowOff>
    </xdr:from>
    <xdr:to>
      <xdr:col>12</xdr:col>
      <xdr:colOff>342899</xdr:colOff>
      <xdr:row>35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D12ABD-21ED-6FD5-1E40-34C9F6E85F62}"/>
            </a:ext>
          </a:extLst>
        </xdr:cNvPr>
        <xdr:cNvSpPr txBox="1"/>
      </xdr:nvSpPr>
      <xdr:spPr>
        <a:xfrm>
          <a:off x="5819774" y="5614987"/>
          <a:ext cx="2447925" cy="1271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coffee shop claims that the average amount of caffeine in their espresso shots is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mg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You collect a sample of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espresso shots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test if the average caffeine content differs from the claimed amount.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523875</xdr:colOff>
      <xdr:row>5</xdr:row>
      <xdr:rowOff>85725</xdr:rowOff>
    </xdr:from>
    <xdr:ext cx="161925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667890-9F85-3AFC-3EBF-12DED46640E3}"/>
            </a:ext>
          </a:extLst>
        </xdr:cNvPr>
        <xdr:cNvSpPr txBox="1"/>
      </xdr:nvSpPr>
      <xdr:spPr>
        <a:xfrm>
          <a:off x="7229475" y="1038225"/>
          <a:ext cx="16192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9</xdr:col>
      <xdr:colOff>95250</xdr:colOff>
      <xdr:row>0</xdr:row>
      <xdr:rowOff>0</xdr:rowOff>
    </xdr:from>
    <xdr:to>
      <xdr:col>18</xdr:col>
      <xdr:colOff>485774</xdr:colOff>
      <xdr:row>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A852155-A1A2-5A35-915A-C5C7ECD76434}"/>
            </a:ext>
          </a:extLst>
        </xdr:cNvPr>
        <xdr:cNvSpPr txBox="1"/>
      </xdr:nvSpPr>
      <xdr:spPr>
        <a:xfrm flipH="1">
          <a:off x="8848725" y="0"/>
          <a:ext cx="5876924" cy="809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9</xdr:col>
      <xdr:colOff>142875</xdr:colOff>
      <xdr:row>0</xdr:row>
      <xdr:rowOff>133351</xdr:rowOff>
    </xdr:from>
    <xdr:ext cx="5845835" cy="69532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6FCBEE7-8CD7-9D6C-1C54-250ED0D327A7}"/>
            </a:ext>
          </a:extLst>
        </xdr:cNvPr>
        <xdr:cNvSpPr txBox="1"/>
      </xdr:nvSpPr>
      <xdr:spPr>
        <a:xfrm>
          <a:off x="8896350" y="133351"/>
          <a:ext cx="5845835" cy="6953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You're comparing the test scores of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online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vs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in-person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students to see if the teaching method affects performance</a:t>
          </a:r>
          <a:endParaRPr lang="en-US">
            <a:effectLst/>
          </a:endParaRPr>
        </a:p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1</xdr:row>
      <xdr:rowOff>0</xdr:rowOff>
    </xdr:from>
    <xdr:to>
      <xdr:col>19</xdr:col>
      <xdr:colOff>257175</xdr:colOff>
      <xdr:row>3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15872B-F4E3-1FBB-6405-7C48AFBA63AC}"/>
            </a:ext>
          </a:extLst>
        </xdr:cNvPr>
        <xdr:cNvSpPr txBox="1"/>
      </xdr:nvSpPr>
      <xdr:spPr>
        <a:xfrm>
          <a:off x="7715250" y="190500"/>
          <a:ext cx="4124325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want to test if a fitness program improves weight loss. You record weights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before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after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6 weeks for 8 participants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781050</xdr:colOff>
      <xdr:row>6</xdr:row>
      <xdr:rowOff>171450</xdr:rowOff>
    </xdr:from>
    <xdr:to>
      <xdr:col>10</xdr:col>
      <xdr:colOff>390525</xdr:colOff>
      <xdr:row>14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F19AD4-AAB5-9773-C86D-31666482195B}"/>
            </a:ext>
          </a:extLst>
        </xdr:cNvPr>
        <xdr:cNvSpPr txBox="1"/>
      </xdr:nvSpPr>
      <xdr:spPr>
        <a:xfrm>
          <a:off x="5476875" y="3286125"/>
          <a:ext cx="4029075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company claims its light bulbs last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1,000 hours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average.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sample of 40 bulbs has a mean life of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980 hours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with a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known population standard deviation (</a:t>
          </a:r>
          <a:r>
            <a:rPr lang="el-G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σ) = 80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 at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 significance level (</a:t>
          </a:r>
          <a:r>
            <a:rPr lang="el-G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 = 0.05)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whether the bulbs last less than claimed.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428625</xdr:colOff>
      <xdr:row>0</xdr:row>
      <xdr:rowOff>523875</xdr:rowOff>
    </xdr:from>
    <xdr:to>
      <xdr:col>16</xdr:col>
      <xdr:colOff>419100</xdr:colOff>
      <xdr:row>6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F390EE-51F2-5D56-49D7-B5DA42CA2304}"/>
            </a:ext>
          </a:extLst>
        </xdr:cNvPr>
        <xdr:cNvSpPr txBox="1"/>
      </xdr:nvSpPr>
      <xdr:spPr>
        <a:xfrm>
          <a:off x="7743825" y="523875"/>
          <a:ext cx="242887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survey is conducted to check if customer preference for a product depends on their age group. The observed frequencies are: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380999</xdr:colOff>
      <xdr:row>0</xdr:row>
      <xdr:rowOff>161925</xdr:rowOff>
    </xdr:from>
    <xdr:to>
      <xdr:col>25</xdr:col>
      <xdr:colOff>123824</xdr:colOff>
      <xdr:row>8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2B5F18-D3F3-5F12-19B5-F553A7F275DB}"/>
            </a:ext>
          </a:extLst>
        </xdr:cNvPr>
        <xdr:cNvSpPr txBox="1"/>
      </xdr:nvSpPr>
      <xdr:spPr>
        <a:xfrm>
          <a:off x="12572999" y="161925"/>
          <a:ext cx="2790825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company measures daily sales (in $100s) at three different store locations. Test whether the mean sales differ between the three stores at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 = 0.05.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(each group n = 5)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18</xdr:col>
      <xdr:colOff>257175</xdr:colOff>
      <xdr:row>28</xdr:row>
      <xdr:rowOff>190499</xdr:rowOff>
    </xdr:from>
    <xdr:to>
      <xdr:col>22</xdr:col>
      <xdr:colOff>295275</xdr:colOff>
      <xdr:row>34</xdr:row>
      <xdr:rowOff>9524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CC5D19-3F3D-254E-FBE5-43DCE10505E6}"/>
            </a:ext>
          </a:extLst>
        </xdr:cNvPr>
        <xdr:cNvSpPr txBox="1"/>
      </xdr:nvSpPr>
      <xdr:spPr>
        <a:xfrm>
          <a:off x="13401675" y="6286499"/>
          <a:ext cx="2476500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Three teaching methods used on students; sample sizes differ. Test whether the mean exam score differs across methods (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 = 0.05).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16</xdr:col>
      <xdr:colOff>161925</xdr:colOff>
      <xdr:row>46</xdr:row>
      <xdr:rowOff>9525</xdr:rowOff>
    </xdr:from>
    <xdr:to>
      <xdr:col>22</xdr:col>
      <xdr:colOff>323850</xdr:colOff>
      <xdr:row>52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49A74A-7022-E45A-9C07-C939BBBA9E95}"/>
            </a:ext>
          </a:extLst>
        </xdr:cNvPr>
        <xdr:cNvSpPr txBox="1"/>
      </xdr:nvSpPr>
      <xdr:spPr>
        <a:xfrm>
          <a:off x="11791950" y="9839325"/>
          <a:ext cx="4114800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manufacturer wants to know if production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machine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(A, B, C) or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shift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(1, 2, 3, 4) affect units produced. There is one measurement per combination (no replication). Perform a two-factor ANOVA without replication to test for row (machine) and column (shift) effects at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 = 0.05.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15</xdr:col>
      <xdr:colOff>47625</xdr:colOff>
      <xdr:row>75</xdr:row>
      <xdr:rowOff>1</xdr:rowOff>
    </xdr:from>
    <xdr:to>
      <xdr:col>22</xdr:col>
      <xdr:colOff>523875</xdr:colOff>
      <xdr:row>82</xdr:row>
      <xdr:rowOff>95251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68125E-BF3A-4BD8-454D-EFBA3648DFC2}"/>
            </a:ext>
          </a:extLst>
        </xdr:cNvPr>
        <xdr:cNvSpPr txBox="1"/>
      </xdr:nvSpPr>
      <xdr:spPr>
        <a:xfrm>
          <a:off x="11068050" y="15659101"/>
          <a:ext cx="5038725" cy="142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Effect of Teaching Method and Gender on Exam Scores”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teacher wants to test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two factors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may affect student performance: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Teaching Method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— (Traditional, Online)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Gender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— (Male, Female)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combination (e.g., Male-Traditional, Female-Online, etc.) has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more than one observation (replication)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— that’s what makes it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“with replication”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15</xdr:col>
      <xdr:colOff>209550</xdr:colOff>
      <xdr:row>83</xdr:row>
      <xdr:rowOff>152400</xdr:rowOff>
    </xdr:from>
    <xdr:to>
      <xdr:col>22</xdr:col>
      <xdr:colOff>352425</xdr:colOff>
      <xdr:row>91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7C8389A-7284-894E-A844-3006E71FF0E5}"/>
            </a:ext>
          </a:extLst>
        </xdr:cNvPr>
        <xdr:cNvSpPr txBox="1"/>
      </xdr:nvSpPr>
      <xdr:spPr>
        <a:xfrm>
          <a:off x="11229975" y="17335500"/>
          <a:ext cx="470535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a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Two-Factor ANOVA With Replication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test: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H₀₁ (Factor A – Gender):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Mean scores are the same for males and females.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H₀₂ (Factor B – Teaching Method):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Mean scores are the same for Traditional and Online.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H₀₃ (Interaction):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There’s no interaction between Gender and Teaching Method (i.e., one doesn’t depend on the other).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8BE9-8A94-43C4-89FF-D4A3F4F4BFF2}">
  <dimension ref="A1:F25"/>
  <sheetViews>
    <sheetView tabSelected="1" zoomScale="115" zoomScaleNormal="115" workbookViewId="0">
      <selection activeCell="F16" sqref="F16"/>
    </sheetView>
  </sheetViews>
  <sheetFormatPr defaultRowHeight="15"/>
  <cols>
    <col min="3" max="3" width="12" customWidth="1"/>
    <col min="5" max="5" width="22.28515625" bestFit="1" customWidth="1"/>
    <col min="6" max="6" width="12.28515625" bestFit="1" customWidth="1"/>
  </cols>
  <sheetData>
    <row r="1" spans="1:6">
      <c r="A1">
        <v>67</v>
      </c>
    </row>
    <row r="2" spans="1:6">
      <c r="A2">
        <v>168</v>
      </c>
      <c r="C2" t="s">
        <v>5</v>
      </c>
      <c r="D2">
        <f>AVERAGE(A1:A25)</f>
        <v>219.24</v>
      </c>
    </row>
    <row r="3" spans="1:6">
      <c r="A3">
        <v>285</v>
      </c>
      <c r="C3" t="s">
        <v>6</v>
      </c>
      <c r="D3">
        <f>MEDIAN(A1:A25)</f>
        <v>199</v>
      </c>
    </row>
    <row r="4" spans="1:6">
      <c r="A4">
        <v>220</v>
      </c>
      <c r="C4" t="s">
        <v>7</v>
      </c>
      <c r="D4">
        <f>_xlfn.MODE.SNGL(A1:A25)</f>
        <v>3</v>
      </c>
      <c r="E4">
        <f>_xlfn.MODE.MULT(A1:A25)</f>
        <v>3</v>
      </c>
    </row>
    <row r="5" spans="1:6">
      <c r="A5">
        <v>3</v>
      </c>
      <c r="E5" t="s">
        <v>8</v>
      </c>
    </row>
    <row r="6" spans="1:6">
      <c r="A6">
        <v>490</v>
      </c>
      <c r="C6" t="s">
        <v>9</v>
      </c>
      <c r="E6">
        <f>_xlfn.VAR.P(A1:A25)</f>
        <v>24794.982400000001</v>
      </c>
      <c r="F6">
        <f>_xlfn.VAR.P(A:A)</f>
        <v>24794.982400000001</v>
      </c>
    </row>
    <row r="7" spans="1:6">
      <c r="A7">
        <v>3</v>
      </c>
      <c r="C7" t="s">
        <v>10</v>
      </c>
      <c r="E7">
        <f>_xlfn.VAR.S(A1:A25)</f>
        <v>25828.10666666667</v>
      </c>
      <c r="F7">
        <f>_xlfn.VAR.S(A1:A25)</f>
        <v>25828.10666666667</v>
      </c>
    </row>
    <row r="8" spans="1:6">
      <c r="A8">
        <v>87</v>
      </c>
      <c r="C8" t="s">
        <v>11</v>
      </c>
      <c r="E8">
        <f>_xlfn.STDEV.P(A1:A25)</f>
        <v>157.46422577842881</v>
      </c>
    </row>
    <row r="9" spans="1:6">
      <c r="A9">
        <v>142</v>
      </c>
      <c r="C9" t="s">
        <v>12</v>
      </c>
      <c r="E9">
        <f>_xlfn.STDEV.S(A1:A25)</f>
        <v>160.71125245814827</v>
      </c>
    </row>
    <row r="10" spans="1:6">
      <c r="A10">
        <v>360</v>
      </c>
    </row>
    <row r="11" spans="1:6">
      <c r="A11">
        <v>411</v>
      </c>
    </row>
    <row r="12" spans="1:6">
      <c r="A12">
        <v>60</v>
      </c>
    </row>
    <row r="13" spans="1:6">
      <c r="A13">
        <v>60</v>
      </c>
    </row>
    <row r="14" spans="1:6">
      <c r="A14">
        <v>395</v>
      </c>
    </row>
    <row r="15" spans="1:6">
      <c r="A15">
        <v>195</v>
      </c>
    </row>
    <row r="16" spans="1:6">
      <c r="A16">
        <v>463</v>
      </c>
    </row>
    <row r="17" spans="1:1">
      <c r="A17">
        <v>460</v>
      </c>
    </row>
    <row r="18" spans="1:1">
      <c r="A18">
        <v>199</v>
      </c>
    </row>
    <row r="19" spans="1:1">
      <c r="A19">
        <v>254</v>
      </c>
    </row>
    <row r="20" spans="1:1">
      <c r="A20">
        <v>98</v>
      </c>
    </row>
    <row r="21" spans="1:1">
      <c r="A21">
        <v>255</v>
      </c>
    </row>
    <row r="22" spans="1:1">
      <c r="A22">
        <v>416</v>
      </c>
    </row>
    <row r="23" spans="1:1">
      <c r="A23">
        <v>33</v>
      </c>
    </row>
    <row r="24" spans="1:1">
      <c r="A24">
        <v>22</v>
      </c>
    </row>
    <row r="25" spans="1:1">
      <c r="A25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4606-473C-4D0E-BABC-F6596F96AFAE}">
  <dimension ref="A1:Q31"/>
  <sheetViews>
    <sheetView topLeftCell="A10" workbookViewId="0">
      <selection activeCell="L18" sqref="L18"/>
    </sheetView>
  </sheetViews>
  <sheetFormatPr defaultRowHeight="15"/>
  <cols>
    <col min="17" max="17" width="10.5703125" bestFit="1" customWidth="1"/>
  </cols>
  <sheetData>
    <row r="1" spans="1:17" ht="30">
      <c r="A1" s="1" t="s">
        <v>0</v>
      </c>
      <c r="B1" s="1" t="s">
        <v>1</v>
      </c>
      <c r="C1" t="s">
        <v>2</v>
      </c>
      <c r="D1" s="4" t="s">
        <v>2</v>
      </c>
      <c r="E1" s="4" t="s">
        <v>4</v>
      </c>
      <c r="J1" s="5" t="s">
        <v>2</v>
      </c>
      <c r="K1" s="5" t="s">
        <v>4</v>
      </c>
      <c r="N1" s="4" t="s">
        <v>2</v>
      </c>
      <c r="O1" s="4" t="s">
        <v>4</v>
      </c>
      <c r="P1" s="4" t="s">
        <v>2</v>
      </c>
      <c r="Q1" s="4" t="s">
        <v>4</v>
      </c>
    </row>
    <row r="2" spans="1:17">
      <c r="A2" s="2">
        <v>1</v>
      </c>
      <c r="B2" s="2">
        <v>12</v>
      </c>
      <c r="D2">
        <v>10</v>
      </c>
      <c r="E2">
        <v>0</v>
      </c>
      <c r="J2" s="6">
        <v>0</v>
      </c>
      <c r="K2" s="6">
        <v>0</v>
      </c>
      <c r="N2">
        <v>10</v>
      </c>
      <c r="O2">
        <v>0</v>
      </c>
      <c r="P2" t="s">
        <v>3</v>
      </c>
      <c r="Q2" t="e">
        <v>#N/A</v>
      </c>
    </row>
    <row r="3" spans="1:17">
      <c r="A3" s="2">
        <v>2</v>
      </c>
      <c r="B3" s="2">
        <v>25</v>
      </c>
      <c r="C3">
        <v>10</v>
      </c>
      <c r="D3">
        <v>20</v>
      </c>
      <c r="E3">
        <v>1</v>
      </c>
      <c r="J3" s="6">
        <v>10</v>
      </c>
      <c r="K3" s="6">
        <v>0</v>
      </c>
      <c r="N3">
        <v>20</v>
      </c>
      <c r="O3">
        <v>1</v>
      </c>
      <c r="P3">
        <v>90</v>
      </c>
      <c r="Q3">
        <v>10</v>
      </c>
    </row>
    <row r="4" spans="1:17">
      <c r="A4" s="2">
        <v>3</v>
      </c>
      <c r="B4" s="2">
        <v>39</v>
      </c>
      <c r="C4">
        <v>20</v>
      </c>
      <c r="D4">
        <v>30</v>
      </c>
      <c r="E4">
        <v>2</v>
      </c>
      <c r="J4" s="6">
        <v>20</v>
      </c>
      <c r="K4" s="6">
        <v>1</v>
      </c>
      <c r="N4">
        <v>30</v>
      </c>
      <c r="O4">
        <v>2</v>
      </c>
      <c r="P4">
        <v>80</v>
      </c>
      <c r="Q4">
        <v>7</v>
      </c>
    </row>
    <row r="5" spans="1:17">
      <c r="A5" s="2">
        <v>4</v>
      </c>
      <c r="B5" s="2">
        <v>41</v>
      </c>
      <c r="C5">
        <v>30</v>
      </c>
      <c r="D5">
        <v>40</v>
      </c>
      <c r="E5">
        <v>2</v>
      </c>
      <c r="J5" s="6">
        <v>30</v>
      </c>
      <c r="K5" s="6">
        <v>2</v>
      </c>
      <c r="N5">
        <v>40</v>
      </c>
      <c r="O5">
        <v>2</v>
      </c>
      <c r="P5">
        <v>30</v>
      </c>
      <c r="Q5">
        <v>2</v>
      </c>
    </row>
    <row r="6" spans="1:17">
      <c r="A6" s="2">
        <v>5</v>
      </c>
      <c r="B6" s="2">
        <v>58</v>
      </c>
      <c r="C6">
        <v>40</v>
      </c>
      <c r="D6">
        <v>50</v>
      </c>
      <c r="E6">
        <v>2</v>
      </c>
      <c r="J6" s="6">
        <v>40</v>
      </c>
      <c r="K6" s="6">
        <v>2</v>
      </c>
      <c r="N6">
        <v>50</v>
      </c>
      <c r="O6">
        <v>2</v>
      </c>
      <c r="P6">
        <v>40</v>
      </c>
      <c r="Q6">
        <v>2</v>
      </c>
    </row>
    <row r="7" spans="1:17">
      <c r="A7" s="2">
        <v>6</v>
      </c>
      <c r="B7" s="2">
        <v>62</v>
      </c>
      <c r="C7">
        <v>50</v>
      </c>
      <c r="D7">
        <v>60</v>
      </c>
      <c r="E7">
        <v>2</v>
      </c>
      <c r="J7" s="6">
        <v>50</v>
      </c>
      <c r="K7" s="6">
        <v>2</v>
      </c>
      <c r="N7">
        <v>60</v>
      </c>
      <c r="O7">
        <v>2</v>
      </c>
      <c r="P7">
        <v>50</v>
      </c>
      <c r="Q7">
        <v>2</v>
      </c>
    </row>
    <row r="8" spans="1:17">
      <c r="A8" s="2">
        <v>7</v>
      </c>
      <c r="B8" s="2">
        <v>70</v>
      </c>
      <c r="C8">
        <v>60</v>
      </c>
      <c r="D8">
        <v>70</v>
      </c>
      <c r="E8">
        <v>2</v>
      </c>
      <c r="J8" s="6">
        <v>60</v>
      </c>
      <c r="K8" s="6">
        <v>2</v>
      </c>
      <c r="N8">
        <v>70</v>
      </c>
      <c r="O8">
        <v>2</v>
      </c>
      <c r="P8">
        <v>60</v>
      </c>
      <c r="Q8">
        <v>2</v>
      </c>
    </row>
    <row r="9" spans="1:17">
      <c r="A9" s="2">
        <v>8</v>
      </c>
      <c r="B9" s="2">
        <v>77</v>
      </c>
      <c r="C9">
        <v>70</v>
      </c>
      <c r="D9">
        <v>80</v>
      </c>
      <c r="E9">
        <v>7</v>
      </c>
      <c r="J9" s="6">
        <v>70</v>
      </c>
      <c r="K9" s="6">
        <v>2</v>
      </c>
      <c r="N9">
        <v>80</v>
      </c>
      <c r="O9">
        <v>7</v>
      </c>
      <c r="P9">
        <v>70</v>
      </c>
      <c r="Q9">
        <v>2</v>
      </c>
    </row>
    <row r="10" spans="1:17">
      <c r="A10" s="2">
        <v>9</v>
      </c>
      <c r="B10" s="2">
        <v>85</v>
      </c>
      <c r="C10">
        <v>80</v>
      </c>
      <c r="D10">
        <v>90</v>
      </c>
      <c r="E10">
        <v>10</v>
      </c>
      <c r="J10" s="6">
        <v>80</v>
      </c>
      <c r="K10" s="6">
        <v>7</v>
      </c>
      <c r="N10">
        <v>90</v>
      </c>
      <c r="O10">
        <v>10</v>
      </c>
      <c r="Q10">
        <v>2</v>
      </c>
    </row>
    <row r="11" spans="1:17">
      <c r="A11" s="2">
        <v>10</v>
      </c>
      <c r="B11" s="2">
        <v>92</v>
      </c>
      <c r="C11">
        <v>90</v>
      </c>
      <c r="E11">
        <v>2</v>
      </c>
      <c r="J11" s="6">
        <v>90</v>
      </c>
      <c r="K11" s="6">
        <v>10</v>
      </c>
      <c r="O11">
        <v>2</v>
      </c>
      <c r="P11">
        <v>20</v>
      </c>
      <c r="Q11">
        <v>1</v>
      </c>
    </row>
    <row r="12" spans="1:17" ht="15.75" thickBot="1">
      <c r="A12" s="2">
        <v>11</v>
      </c>
      <c r="B12" s="2">
        <v>98</v>
      </c>
      <c r="C12">
        <v>100</v>
      </c>
      <c r="D12" s="3" t="s">
        <v>3</v>
      </c>
      <c r="E12" s="3" t="e">
        <v>#N/A</v>
      </c>
      <c r="J12" s="6">
        <v>100</v>
      </c>
      <c r="K12" s="6">
        <v>2</v>
      </c>
      <c r="N12" s="3" t="s">
        <v>3</v>
      </c>
      <c r="O12" s="3" t="e">
        <v>#N/A</v>
      </c>
      <c r="P12" s="3">
        <v>10</v>
      </c>
      <c r="Q12" s="3">
        <v>0</v>
      </c>
    </row>
    <row r="13" spans="1:17">
      <c r="A13" s="2">
        <v>12</v>
      </c>
      <c r="B13" s="2">
        <v>35</v>
      </c>
      <c r="J13" s="6" t="s">
        <v>3</v>
      </c>
      <c r="K13" s="6">
        <v>0</v>
      </c>
    </row>
    <row r="14" spans="1:17">
      <c r="A14" s="2">
        <v>13</v>
      </c>
      <c r="B14" s="2">
        <v>23</v>
      </c>
    </row>
    <row r="15" spans="1:17">
      <c r="A15" s="2">
        <v>14</v>
      </c>
      <c r="B15" s="2">
        <v>45</v>
      </c>
    </row>
    <row r="16" spans="1:17">
      <c r="A16" s="2">
        <v>15</v>
      </c>
      <c r="B16" s="2">
        <v>60</v>
      </c>
    </row>
    <row r="17" spans="1:2">
      <c r="A17" s="2">
        <v>16</v>
      </c>
      <c r="B17" s="2">
        <v>75</v>
      </c>
    </row>
    <row r="18" spans="1:2">
      <c r="A18" s="2">
        <v>17</v>
      </c>
      <c r="B18" s="2">
        <v>76</v>
      </c>
    </row>
    <row r="19" spans="1:2">
      <c r="A19" s="2">
        <v>18</v>
      </c>
      <c r="B19" s="2">
        <v>77</v>
      </c>
    </row>
    <row r="20" spans="1:2">
      <c r="A20" s="2">
        <v>19</v>
      </c>
      <c r="B20" s="2">
        <v>78</v>
      </c>
    </row>
    <row r="21" spans="1:2">
      <c r="A21" s="2">
        <v>20</v>
      </c>
      <c r="B21" s="2">
        <v>79</v>
      </c>
    </row>
    <row r="22" spans="1:2">
      <c r="A22" s="2">
        <v>21</v>
      </c>
      <c r="B22" s="2">
        <v>80</v>
      </c>
    </row>
    <row r="23" spans="1:2">
      <c r="A23" s="2">
        <v>22</v>
      </c>
      <c r="B23" s="2">
        <v>81</v>
      </c>
    </row>
    <row r="24" spans="1:2">
      <c r="A24" s="2">
        <v>23</v>
      </c>
      <c r="B24" s="2">
        <v>82</v>
      </c>
    </row>
    <row r="25" spans="1:2">
      <c r="A25" s="2">
        <v>24</v>
      </c>
      <c r="B25" s="2">
        <v>83</v>
      </c>
    </row>
    <row r="26" spans="1:2">
      <c r="A26" s="2">
        <v>25</v>
      </c>
      <c r="B26" s="2">
        <v>84</v>
      </c>
    </row>
    <row r="27" spans="1:2">
      <c r="A27" s="2">
        <v>26</v>
      </c>
      <c r="B27" s="2">
        <v>85</v>
      </c>
    </row>
    <row r="28" spans="1:2">
      <c r="A28" s="2">
        <v>27</v>
      </c>
      <c r="B28" s="2">
        <v>86</v>
      </c>
    </row>
    <row r="29" spans="1:2">
      <c r="A29" s="2">
        <v>28</v>
      </c>
      <c r="B29" s="2">
        <v>87</v>
      </c>
    </row>
    <row r="30" spans="1:2">
      <c r="A30" s="2">
        <v>29</v>
      </c>
      <c r="B30" s="2">
        <v>88</v>
      </c>
    </row>
    <row r="31" spans="1:2">
      <c r="A31" s="2">
        <v>30</v>
      </c>
      <c r="B31" s="2">
        <v>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3E6F-8D0B-4316-B720-901CD36463C8}">
  <dimension ref="A1:E39"/>
  <sheetViews>
    <sheetView topLeftCell="A25" zoomScaleNormal="100" workbookViewId="0">
      <selection activeCell="E35" sqref="E35"/>
    </sheetView>
  </sheetViews>
  <sheetFormatPr defaultRowHeight="15"/>
  <cols>
    <col min="3" max="3" width="12.5703125" customWidth="1"/>
    <col min="4" max="5" width="12" bestFit="1" customWidth="1"/>
  </cols>
  <sheetData>
    <row r="1" spans="1:4">
      <c r="A1" t="s">
        <v>13</v>
      </c>
    </row>
    <row r="2" spans="1:4">
      <c r="A2">
        <v>49.8</v>
      </c>
      <c r="C2" t="s">
        <v>14</v>
      </c>
      <c r="D2">
        <v>50</v>
      </c>
    </row>
    <row r="3" spans="1:4">
      <c r="A3">
        <v>50.2</v>
      </c>
      <c r="C3" t="s">
        <v>15</v>
      </c>
      <c r="D3">
        <v>10</v>
      </c>
    </row>
    <row r="4" spans="1:4">
      <c r="A4">
        <v>50.1</v>
      </c>
      <c r="C4" t="s">
        <v>16</v>
      </c>
      <c r="D4">
        <f>_xlfn.STDEV.S(A2:A11)</f>
        <v>0.23118054512532935</v>
      </c>
    </row>
    <row r="5" spans="1:4">
      <c r="A5">
        <v>49.9</v>
      </c>
      <c r="C5" t="s">
        <v>17</v>
      </c>
      <c r="D5">
        <f>AVERAGE(A2:A11)</f>
        <v>50.03</v>
      </c>
    </row>
    <row r="6" spans="1:4">
      <c r="A6">
        <v>50</v>
      </c>
      <c r="C6" t="s">
        <v>18</v>
      </c>
      <c r="D6">
        <f>(D5-D2)/(D4/SQRT(D3))</f>
        <v>0.41036467732881343</v>
      </c>
    </row>
    <row r="7" spans="1:4">
      <c r="A7">
        <v>50.3</v>
      </c>
      <c r="C7" t="s">
        <v>19</v>
      </c>
      <c r="D7">
        <f>_xlfn.T.DIST.2T(D6,9)</f>
        <v>0.69113555051892417</v>
      </c>
    </row>
    <row r="8" spans="1:4">
      <c r="A8">
        <v>50.4</v>
      </c>
    </row>
    <row r="9" spans="1:4">
      <c r="A9">
        <v>49.7</v>
      </c>
      <c r="C9" t="b">
        <f>D7&lt;0.05</f>
        <v>0</v>
      </c>
    </row>
    <row r="10" spans="1:4">
      <c r="A10">
        <v>50.1</v>
      </c>
      <c r="C10" t="s">
        <v>20</v>
      </c>
    </row>
    <row r="11" spans="1:4">
      <c r="A11">
        <v>49.8</v>
      </c>
    </row>
    <row r="16" spans="1:4" ht="30">
      <c r="A16" s="1" t="s">
        <v>0</v>
      </c>
      <c r="B16" s="1" t="s">
        <v>1</v>
      </c>
    </row>
    <row r="17" spans="1:5">
      <c r="A17" s="2">
        <v>1</v>
      </c>
      <c r="B17" s="2">
        <v>78</v>
      </c>
      <c r="D17" t="s">
        <v>21</v>
      </c>
      <c r="E17" t="s">
        <v>22</v>
      </c>
    </row>
    <row r="18" spans="1:5">
      <c r="A18" s="2">
        <v>2</v>
      </c>
      <c r="B18" s="2">
        <v>82</v>
      </c>
      <c r="D18" t="s">
        <v>23</v>
      </c>
      <c r="E18" t="s">
        <v>24</v>
      </c>
    </row>
    <row r="19" spans="1:5">
      <c r="A19" s="2">
        <v>3</v>
      </c>
      <c r="B19" s="2">
        <v>70</v>
      </c>
    </row>
    <row r="20" spans="1:5">
      <c r="A20" s="2">
        <v>4</v>
      </c>
      <c r="B20" s="2">
        <v>76</v>
      </c>
      <c r="D20" t="s">
        <v>16</v>
      </c>
      <c r="E20">
        <f>_xlfn.STDEV.S(B17:B26)</f>
        <v>5.4201270997807587</v>
      </c>
    </row>
    <row r="21" spans="1:5">
      <c r="A21" s="2">
        <v>5</v>
      </c>
      <c r="B21" s="2">
        <v>74</v>
      </c>
      <c r="D21" t="s">
        <v>17</v>
      </c>
      <c r="E21">
        <f>AVERAGE(B17:B26)</f>
        <v>76.400000000000006</v>
      </c>
    </row>
    <row r="22" spans="1:5">
      <c r="A22" s="2">
        <v>6</v>
      </c>
      <c r="B22" s="2">
        <v>80</v>
      </c>
      <c r="D22" t="s">
        <v>15</v>
      </c>
      <c r="E22">
        <f>COUNT(B17:B26)</f>
        <v>10</v>
      </c>
    </row>
    <row r="23" spans="1:5">
      <c r="A23" s="2">
        <v>7</v>
      </c>
      <c r="B23" s="2">
        <v>68</v>
      </c>
      <c r="D23" t="s">
        <v>25</v>
      </c>
      <c r="E23">
        <f>E22-1</f>
        <v>9</v>
      </c>
    </row>
    <row r="24" spans="1:5">
      <c r="A24" s="2">
        <v>8</v>
      </c>
      <c r="B24" s="2">
        <v>85</v>
      </c>
      <c r="D24" t="s">
        <v>26</v>
      </c>
      <c r="E24">
        <v>0.05</v>
      </c>
    </row>
    <row r="25" spans="1:5">
      <c r="A25" s="2">
        <v>9</v>
      </c>
      <c r="B25" s="2">
        <v>79</v>
      </c>
      <c r="D25" t="s">
        <v>27</v>
      </c>
      <c r="E25">
        <f>(E21-75)/(E20/SQRT(E22))</f>
        <v>0.81680533366363806</v>
      </c>
    </row>
    <row r="26" spans="1:5">
      <c r="A26" s="2">
        <v>10</v>
      </c>
      <c r="B26" s="2">
        <v>72</v>
      </c>
      <c r="D26" t="s">
        <v>19</v>
      </c>
      <c r="E26">
        <f>_xlfn.T.DIST.2T(E25,E23)</f>
        <v>0.4351268779661962</v>
      </c>
    </row>
    <row r="29" spans="1:5" ht="30">
      <c r="A29" s="1" t="s">
        <v>28</v>
      </c>
      <c r="B29" s="1" t="s">
        <v>29</v>
      </c>
    </row>
    <row r="30" spans="1:5">
      <c r="A30" s="2">
        <v>1</v>
      </c>
      <c r="B30" s="2">
        <v>78</v>
      </c>
      <c r="D30" t="s">
        <v>30</v>
      </c>
      <c r="E30">
        <v>80</v>
      </c>
    </row>
    <row r="31" spans="1:5">
      <c r="A31" s="2">
        <v>2</v>
      </c>
      <c r="B31" s="2">
        <v>85</v>
      </c>
      <c r="D31" t="s">
        <v>15</v>
      </c>
      <c r="E31">
        <v>10</v>
      </c>
    </row>
    <row r="32" spans="1:5">
      <c r="A32" s="2">
        <v>3</v>
      </c>
      <c r="B32" s="2">
        <v>80</v>
      </c>
      <c r="D32" t="s">
        <v>16</v>
      </c>
      <c r="E32">
        <f>_xlfn.STDEV.S(B30:B39)</f>
        <v>3.0276503540974917</v>
      </c>
    </row>
    <row r="33" spans="1:5">
      <c r="A33" s="2">
        <v>4</v>
      </c>
      <c r="B33" s="2">
        <v>76</v>
      </c>
      <c r="D33" t="s">
        <v>31</v>
      </c>
      <c r="E33">
        <f>AVERAGE(B30:B39)</f>
        <v>80.5</v>
      </c>
    </row>
    <row r="34" spans="1:5">
      <c r="A34" s="2">
        <v>5</v>
      </c>
      <c r="B34" s="2">
        <v>82</v>
      </c>
      <c r="D34" t="s">
        <v>27</v>
      </c>
      <c r="E34">
        <f>(E33-E30)/(E32/SQRT(E31))</f>
        <v>0.5222329678670935</v>
      </c>
    </row>
    <row r="35" spans="1:5">
      <c r="A35" s="2">
        <v>6</v>
      </c>
      <c r="B35" s="2">
        <v>79</v>
      </c>
      <c r="D35" t="s">
        <v>19</v>
      </c>
      <c r="E35">
        <f>_xlfn.T.DIST.2T(E34,9)</f>
        <v>0.61411725480839396</v>
      </c>
    </row>
    <row r="36" spans="1:5">
      <c r="A36" s="2">
        <v>7</v>
      </c>
      <c r="B36" s="2">
        <v>81</v>
      </c>
    </row>
    <row r="37" spans="1:5">
      <c r="A37" s="2">
        <v>8</v>
      </c>
      <c r="B37" s="2">
        <v>83</v>
      </c>
    </row>
    <row r="38" spans="1:5">
      <c r="A38" s="2">
        <v>9</v>
      </c>
      <c r="B38" s="2">
        <v>77</v>
      </c>
    </row>
    <row r="39" spans="1:5">
      <c r="A39" s="2">
        <v>10</v>
      </c>
      <c r="B39" s="2">
        <v>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F1BB-3444-409B-80FB-996C5FEC1FB8}">
  <dimension ref="A1:M29"/>
  <sheetViews>
    <sheetView topLeftCell="A7" workbookViewId="0">
      <selection activeCell="H16" sqref="H16:J29"/>
    </sheetView>
  </sheetViews>
  <sheetFormatPr defaultRowHeight="15"/>
  <cols>
    <col min="7" max="7" width="42.5703125" bestFit="1" customWidth="1"/>
    <col min="8" max="8" width="15.42578125" bestFit="1" customWidth="1"/>
    <col min="9" max="9" width="18.42578125" bestFit="1" customWidth="1"/>
  </cols>
  <sheetData>
    <row r="1" spans="1:13" ht="45">
      <c r="A1" s="1" t="s">
        <v>32</v>
      </c>
      <c r="B1" s="1" t="s">
        <v>33</v>
      </c>
      <c r="D1" t="s">
        <v>21</v>
      </c>
      <c r="E1" t="s">
        <v>34</v>
      </c>
      <c r="G1" t="s">
        <v>37</v>
      </c>
    </row>
    <row r="2" spans="1:13" ht="15.75" thickBot="1">
      <c r="A2" s="2">
        <v>78</v>
      </c>
      <c r="B2" s="2">
        <v>84</v>
      </c>
      <c r="D2" t="s">
        <v>23</v>
      </c>
      <c r="E2" t="s">
        <v>35</v>
      </c>
    </row>
    <row r="3" spans="1:13">
      <c r="A3" s="2">
        <v>74</v>
      </c>
      <c r="B3" s="2">
        <v>85</v>
      </c>
      <c r="G3" s="4"/>
      <c r="H3" s="4" t="s">
        <v>32</v>
      </c>
      <c r="I3" s="4" t="s">
        <v>33</v>
      </c>
    </row>
    <row r="4" spans="1:13">
      <c r="A4" s="2">
        <v>69</v>
      </c>
      <c r="B4" s="2">
        <v>80</v>
      </c>
      <c r="D4" t="s">
        <v>36</v>
      </c>
      <c r="E4">
        <v>0.05</v>
      </c>
      <c r="G4" t="s">
        <v>38</v>
      </c>
      <c r="H4">
        <v>75.333333333333329</v>
      </c>
      <c r="I4">
        <v>83.5</v>
      </c>
    </row>
    <row r="5" spans="1:13">
      <c r="A5" s="2">
        <v>81</v>
      </c>
      <c r="B5" s="2">
        <v>87</v>
      </c>
      <c r="G5" t="s">
        <v>39</v>
      </c>
      <c r="H5">
        <v>17.866666666666667</v>
      </c>
      <c r="I5">
        <v>5.9</v>
      </c>
      <c r="M5" s="7"/>
    </row>
    <row r="6" spans="1:13">
      <c r="A6" s="2">
        <v>77</v>
      </c>
      <c r="B6" s="2">
        <v>83</v>
      </c>
      <c r="G6" t="s">
        <v>40</v>
      </c>
      <c r="H6">
        <v>6</v>
      </c>
      <c r="I6">
        <v>6</v>
      </c>
    </row>
    <row r="7" spans="1:13">
      <c r="A7" s="2">
        <v>73</v>
      </c>
      <c r="B7" s="2">
        <v>82</v>
      </c>
      <c r="G7" t="s">
        <v>41</v>
      </c>
      <c r="H7">
        <v>11.883333333333335</v>
      </c>
    </row>
    <row r="8" spans="1:13">
      <c r="G8" t="s">
        <v>42</v>
      </c>
      <c r="H8">
        <v>0</v>
      </c>
    </row>
    <row r="9" spans="1:13">
      <c r="G9" t="s">
        <v>25</v>
      </c>
      <c r="H9">
        <v>10</v>
      </c>
    </row>
    <row r="10" spans="1:13">
      <c r="G10" t="s">
        <v>43</v>
      </c>
      <c r="H10">
        <v>-4.1033287892728252</v>
      </c>
    </row>
    <row r="11" spans="1:13">
      <c r="G11" t="s">
        <v>44</v>
      </c>
      <c r="H11">
        <v>1.0665939724847338E-3</v>
      </c>
    </row>
    <row r="12" spans="1:13">
      <c r="G12" t="s">
        <v>45</v>
      </c>
      <c r="H12">
        <v>1.812461122811676</v>
      </c>
    </row>
    <row r="13" spans="1:13">
      <c r="G13" t="s">
        <v>46</v>
      </c>
      <c r="H13">
        <v>2.1331879449694676E-3</v>
      </c>
    </row>
    <row r="14" spans="1:13" ht="15.75" thickBot="1">
      <c r="G14" s="3" t="s">
        <v>47</v>
      </c>
      <c r="H14" s="3">
        <v>2.2281388519862744</v>
      </c>
      <c r="I14" s="3"/>
    </row>
    <row r="16" spans="1:13">
      <c r="H16" t="s">
        <v>37</v>
      </c>
    </row>
    <row r="17" spans="8:10" ht="15.75" thickBot="1"/>
    <row r="18" spans="8:10">
      <c r="H18" s="4"/>
      <c r="I18" s="4" t="s">
        <v>32</v>
      </c>
      <c r="J18" s="4" t="s">
        <v>33</v>
      </c>
    </row>
    <row r="19" spans="8:10">
      <c r="H19" t="s">
        <v>38</v>
      </c>
      <c r="I19">
        <v>75.333333333333329</v>
      </c>
      <c r="J19">
        <v>83.5</v>
      </c>
    </row>
    <row r="20" spans="8:10">
      <c r="H20" t="s">
        <v>39</v>
      </c>
      <c r="I20">
        <v>17.866666666666667</v>
      </c>
      <c r="J20">
        <v>5.9</v>
      </c>
    </row>
    <row r="21" spans="8:10">
      <c r="H21" t="s">
        <v>40</v>
      </c>
      <c r="I21">
        <v>6</v>
      </c>
      <c r="J21">
        <v>6</v>
      </c>
    </row>
    <row r="22" spans="8:10">
      <c r="H22" t="s">
        <v>41</v>
      </c>
      <c r="I22">
        <v>11.883333333333335</v>
      </c>
    </row>
    <row r="23" spans="8:10">
      <c r="H23" t="s">
        <v>42</v>
      </c>
      <c r="I23">
        <v>0</v>
      </c>
    </row>
    <row r="24" spans="8:10">
      <c r="H24" t="s">
        <v>25</v>
      </c>
      <c r="I24">
        <v>10</v>
      </c>
    </row>
    <row r="25" spans="8:10">
      <c r="H25" t="s">
        <v>43</v>
      </c>
      <c r="I25">
        <v>-4.1033287892728252</v>
      </c>
    </row>
    <row r="26" spans="8:10">
      <c r="H26" t="s">
        <v>44</v>
      </c>
      <c r="I26">
        <v>1.0665939724847338E-3</v>
      </c>
    </row>
    <row r="27" spans="8:10">
      <c r="H27" t="s">
        <v>45</v>
      </c>
      <c r="I27">
        <v>1.812461122811676</v>
      </c>
    </row>
    <row r="28" spans="8:10">
      <c r="H28" t="s">
        <v>46</v>
      </c>
      <c r="I28">
        <v>2.1331879449694676E-3</v>
      </c>
    </row>
    <row r="29" spans="8:10" ht="15.75" thickBot="1">
      <c r="H29" s="3" t="s">
        <v>47</v>
      </c>
      <c r="I29" s="3">
        <v>2.2281388519862744</v>
      </c>
      <c r="J29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E009-5BFB-4D0A-A373-6BF05B64A503}">
  <dimension ref="A1:K22"/>
  <sheetViews>
    <sheetView topLeftCell="A43" zoomScaleNormal="100" workbookViewId="0">
      <selection activeCell="I9" sqref="I9:K22"/>
    </sheetView>
  </sheetViews>
  <sheetFormatPr defaultRowHeight="15"/>
  <cols>
    <col min="5" max="5" width="34.140625" bestFit="1" customWidth="1"/>
    <col min="6" max="6" width="12" bestFit="1" customWidth="1"/>
    <col min="11" max="11" width="12" bestFit="1" customWidth="1"/>
  </cols>
  <sheetData>
    <row r="1" spans="1:11" ht="30">
      <c r="A1" s="1" t="s">
        <v>48</v>
      </c>
      <c r="B1" s="1" t="s">
        <v>49</v>
      </c>
      <c r="C1" s="1" t="s">
        <v>50</v>
      </c>
      <c r="E1" t="s">
        <v>51</v>
      </c>
    </row>
    <row r="2" spans="1:11" ht="15.75" thickBot="1">
      <c r="A2" s="2">
        <v>1</v>
      </c>
      <c r="B2" s="2">
        <v>85</v>
      </c>
      <c r="C2" s="2">
        <v>82</v>
      </c>
    </row>
    <row r="3" spans="1:11">
      <c r="A3" s="2">
        <v>2</v>
      </c>
      <c r="B3" s="2">
        <v>90</v>
      </c>
      <c r="C3" s="2">
        <v>87</v>
      </c>
      <c r="E3" s="4"/>
      <c r="F3" s="4" t="s">
        <v>49</v>
      </c>
      <c r="G3" s="4" t="s">
        <v>50</v>
      </c>
    </row>
    <row r="4" spans="1:11">
      <c r="A4" s="2">
        <v>3</v>
      </c>
      <c r="B4" s="2">
        <v>78</v>
      </c>
      <c r="C4" s="2">
        <v>75</v>
      </c>
      <c r="E4" t="s">
        <v>38</v>
      </c>
      <c r="F4">
        <v>87</v>
      </c>
      <c r="G4">
        <v>83.75</v>
      </c>
    </row>
    <row r="5" spans="1:11">
      <c r="A5" s="2">
        <v>4</v>
      </c>
      <c r="B5" s="2">
        <v>88</v>
      </c>
      <c r="C5" s="2">
        <v>84</v>
      </c>
      <c r="E5" t="s">
        <v>39</v>
      </c>
      <c r="F5">
        <v>31.428571428571427</v>
      </c>
      <c r="G5">
        <v>29.071428571428573</v>
      </c>
    </row>
    <row r="6" spans="1:11">
      <c r="A6" s="2">
        <v>5</v>
      </c>
      <c r="B6" s="2">
        <v>92</v>
      </c>
      <c r="C6" s="2">
        <v>89</v>
      </c>
      <c r="E6" t="s">
        <v>40</v>
      </c>
      <c r="F6">
        <v>8</v>
      </c>
      <c r="G6">
        <v>8</v>
      </c>
    </row>
    <row r="7" spans="1:11">
      <c r="A7" s="2">
        <v>6</v>
      </c>
      <c r="B7" s="2">
        <v>81</v>
      </c>
      <c r="C7" s="2">
        <v>78</v>
      </c>
      <c r="E7" t="s">
        <v>52</v>
      </c>
      <c r="F7">
        <v>0.99721524250925153</v>
      </c>
    </row>
    <row r="8" spans="1:11">
      <c r="A8" s="2">
        <v>7</v>
      </c>
      <c r="B8" s="2">
        <v>95</v>
      </c>
      <c r="C8" s="2">
        <v>91</v>
      </c>
      <c r="E8" t="s">
        <v>42</v>
      </c>
      <c r="F8">
        <v>0</v>
      </c>
    </row>
    <row r="9" spans="1:11">
      <c r="A9" s="2">
        <v>8</v>
      </c>
      <c r="B9" s="2">
        <v>87</v>
      </c>
      <c r="C9" s="2">
        <v>84</v>
      </c>
      <c r="E9" t="s">
        <v>25</v>
      </c>
      <c r="F9">
        <v>7</v>
      </c>
      <c r="I9" t="s">
        <v>51</v>
      </c>
    </row>
    <row r="10" spans="1:11" ht="15.75" thickBot="1">
      <c r="E10" t="s">
        <v>43</v>
      </c>
      <c r="F10">
        <v>19.857828011475309</v>
      </c>
    </row>
    <row r="11" spans="1:11">
      <c r="E11" t="s">
        <v>44</v>
      </c>
      <c r="F11">
        <v>1.0267020961615347E-7</v>
      </c>
      <c r="I11" s="4"/>
      <c r="J11" s="4" t="s">
        <v>49</v>
      </c>
      <c r="K11" s="4" t="s">
        <v>50</v>
      </c>
    </row>
    <row r="12" spans="1:11">
      <c r="E12" t="s">
        <v>45</v>
      </c>
      <c r="F12">
        <v>1.8945786050900073</v>
      </c>
      <c r="I12" t="s">
        <v>38</v>
      </c>
      <c r="J12">
        <v>87</v>
      </c>
      <c r="K12">
        <v>83.75</v>
      </c>
    </row>
    <row r="13" spans="1:11">
      <c r="E13" t="s">
        <v>46</v>
      </c>
      <c r="F13">
        <v>2.0534041923230693E-7</v>
      </c>
      <c r="I13" t="s">
        <v>39</v>
      </c>
      <c r="J13">
        <v>31.428571428571427</v>
      </c>
      <c r="K13">
        <v>29.071428571428573</v>
      </c>
    </row>
    <row r="14" spans="1:11" ht="15.75" thickBot="1">
      <c r="E14" s="3" t="s">
        <v>47</v>
      </c>
      <c r="F14" s="3">
        <v>2.3646242515927849</v>
      </c>
      <c r="G14" s="3"/>
      <c r="I14" t="s">
        <v>40</v>
      </c>
      <c r="J14">
        <v>8</v>
      </c>
      <c r="K14">
        <v>8</v>
      </c>
    </row>
    <row r="15" spans="1:11">
      <c r="I15" t="s">
        <v>52</v>
      </c>
      <c r="J15">
        <v>0.99721524250925153</v>
      </c>
    </row>
    <row r="16" spans="1:11">
      <c r="I16" t="s">
        <v>42</v>
      </c>
      <c r="J16">
        <v>0</v>
      </c>
    </row>
    <row r="17" spans="9:11">
      <c r="I17" t="s">
        <v>25</v>
      </c>
      <c r="J17">
        <v>7</v>
      </c>
    </row>
    <row r="18" spans="9:11">
      <c r="I18" t="s">
        <v>43</v>
      </c>
      <c r="J18">
        <v>19.857828011475309</v>
      </c>
    </row>
    <row r="19" spans="9:11">
      <c r="I19" t="s">
        <v>44</v>
      </c>
      <c r="J19">
        <v>1.0267020961615347E-7</v>
      </c>
    </row>
    <row r="20" spans="9:11">
      <c r="I20" t="s">
        <v>45</v>
      </c>
      <c r="J20">
        <v>1.8945786050900073</v>
      </c>
    </row>
    <row r="21" spans="9:11">
      <c r="I21" t="s">
        <v>46</v>
      </c>
      <c r="J21">
        <v>2.0534041923230693E-7</v>
      </c>
    </row>
    <row r="22" spans="9:11" ht="15.75" thickBot="1">
      <c r="I22" s="3" t="s">
        <v>47</v>
      </c>
      <c r="J22" s="3">
        <v>2.3646242515927849</v>
      </c>
      <c r="K22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780F-0E6F-4BD7-A25E-121405ED0790}">
  <dimension ref="A1:G16"/>
  <sheetViews>
    <sheetView topLeftCell="A61" workbookViewId="0">
      <selection activeCell="G2" sqref="G2"/>
    </sheetView>
  </sheetViews>
  <sheetFormatPr defaultRowHeight="15"/>
  <cols>
    <col min="1" max="1" width="12.42578125" customWidth="1"/>
    <col min="2" max="2" width="15" customWidth="1"/>
    <col min="3" max="3" width="20.5703125" customWidth="1"/>
    <col min="5" max="5" width="16.5703125" customWidth="1"/>
    <col min="6" max="6" width="18.7109375" customWidth="1"/>
    <col min="7" max="7" width="20.140625" customWidth="1"/>
    <col min="12" max="12" width="26" bestFit="1" customWidth="1"/>
  </cols>
  <sheetData>
    <row r="1" spans="1:7">
      <c r="A1" t="s">
        <v>53</v>
      </c>
      <c r="E1" t="s">
        <v>54</v>
      </c>
    </row>
    <row r="2" spans="1:7" ht="30">
      <c r="A2" s="8" t="s">
        <v>55</v>
      </c>
      <c r="B2" s="8" t="s">
        <v>56</v>
      </c>
      <c r="C2" s="8" t="s">
        <v>57</v>
      </c>
      <c r="E2" s="8" t="s">
        <v>55</v>
      </c>
      <c r="F2" s="8" t="s">
        <v>58</v>
      </c>
      <c r="G2" s="8" t="s">
        <v>57</v>
      </c>
    </row>
    <row r="3" spans="1:7" ht="30">
      <c r="A3" s="8" t="s">
        <v>59</v>
      </c>
      <c r="B3" s="9" t="s">
        <v>60</v>
      </c>
      <c r="C3" s="10" t="s">
        <v>61</v>
      </c>
      <c r="E3" s="8" t="s">
        <v>62</v>
      </c>
      <c r="F3" s="9" t="s">
        <v>63</v>
      </c>
      <c r="G3" s="10" t="s">
        <v>64</v>
      </c>
    </row>
    <row r="4" spans="1:7" ht="38.25">
      <c r="A4" s="8" t="s">
        <v>62</v>
      </c>
      <c r="B4" s="9" t="s">
        <v>65</v>
      </c>
      <c r="C4" s="10" t="s">
        <v>66</v>
      </c>
      <c r="E4" s="8" t="s">
        <v>59</v>
      </c>
      <c r="F4" s="9" t="s">
        <v>67</v>
      </c>
      <c r="G4" s="10" t="s">
        <v>68</v>
      </c>
    </row>
    <row r="5" spans="1:7" ht="51">
      <c r="A5" s="8" t="s">
        <v>69</v>
      </c>
      <c r="B5" s="9" t="s">
        <v>70</v>
      </c>
      <c r="C5" s="10" t="s">
        <v>71</v>
      </c>
      <c r="E5" s="8" t="s">
        <v>69</v>
      </c>
      <c r="F5" s="9" t="s">
        <v>72</v>
      </c>
      <c r="G5" s="10" t="s">
        <v>73</v>
      </c>
    </row>
    <row r="9" spans="1:7">
      <c r="A9" t="s">
        <v>74</v>
      </c>
      <c r="B9">
        <v>1000</v>
      </c>
    </row>
    <row r="10" spans="1:7">
      <c r="A10" t="s">
        <v>15</v>
      </c>
      <c r="B10">
        <v>40</v>
      </c>
    </row>
    <row r="11" spans="1:7">
      <c r="A11" t="s">
        <v>17</v>
      </c>
      <c r="B11">
        <v>980</v>
      </c>
    </row>
    <row r="12" spans="1:7">
      <c r="A12" t="s">
        <v>75</v>
      </c>
      <c r="B12">
        <v>80</v>
      </c>
    </row>
    <row r="13" spans="1:7">
      <c r="A13" t="s">
        <v>26</v>
      </c>
      <c r="B13">
        <v>0.05</v>
      </c>
    </row>
    <row r="15" spans="1:7">
      <c r="A15" t="s">
        <v>76</v>
      </c>
      <c r="B15">
        <f>(B11-B9)/(B12/SQRT(B10))</f>
        <v>-1.5811388300841898</v>
      </c>
    </row>
    <row r="16" spans="1:7">
      <c r="A16" t="s">
        <v>19</v>
      </c>
      <c r="B16">
        <f>_xlfn.NORM.S.DIST(B15,TRUE)</f>
        <v>5.692314900332901E-2</v>
      </c>
    </row>
  </sheetData>
  <phoneticPr fontId="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7996-6A67-4CBA-B8EF-6FB9AD37DEEA}">
  <dimension ref="A1:J13"/>
  <sheetViews>
    <sheetView workbookViewId="0">
      <selection activeCell="H12" sqref="H12"/>
    </sheetView>
  </sheetViews>
  <sheetFormatPr defaultRowHeight="15"/>
  <cols>
    <col min="7" max="7" width="10.5703125" bestFit="1" customWidth="1"/>
  </cols>
  <sheetData>
    <row r="1" spans="1:10" ht="45">
      <c r="A1" s="1" t="s">
        <v>77</v>
      </c>
      <c r="B1" s="1" t="s">
        <v>78</v>
      </c>
      <c r="C1" s="1" t="s">
        <v>79</v>
      </c>
      <c r="D1" s="1" t="s">
        <v>80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 s="2" t="s">
        <v>81</v>
      </c>
      <c r="B2" s="2">
        <v>40</v>
      </c>
      <c r="C2" s="2">
        <v>10</v>
      </c>
      <c r="D2">
        <v>50</v>
      </c>
      <c r="G2" s="2" t="s">
        <v>81</v>
      </c>
      <c r="H2">
        <f>D2*$B$6/$D$6</f>
        <v>30.76923076923077</v>
      </c>
      <c r="I2">
        <f>D2*$C$6/$D$6</f>
        <v>19.23076923076923</v>
      </c>
    </row>
    <row r="3" spans="1:10">
      <c r="A3" s="2" t="s">
        <v>82</v>
      </c>
      <c r="B3" s="2">
        <v>35</v>
      </c>
      <c r="C3" s="2">
        <v>15</v>
      </c>
      <c r="D3">
        <v>50</v>
      </c>
      <c r="G3" s="2" t="s">
        <v>82</v>
      </c>
      <c r="H3">
        <f t="shared" ref="H3:H4" si="0">D3*$B$6/$D$6</f>
        <v>30.76923076923077</v>
      </c>
      <c r="I3">
        <f t="shared" ref="I3:I5" si="1">D3*$C$6/$D$6</f>
        <v>19.23076923076923</v>
      </c>
    </row>
    <row r="4" spans="1:10">
      <c r="A4" s="2" t="s">
        <v>83</v>
      </c>
      <c r="B4" s="2">
        <v>25</v>
      </c>
      <c r="C4" s="2">
        <v>20</v>
      </c>
      <c r="D4">
        <v>45</v>
      </c>
      <c r="G4" s="2" t="s">
        <v>83</v>
      </c>
      <c r="H4">
        <f t="shared" si="0"/>
        <v>27.692307692307693</v>
      </c>
      <c r="I4">
        <f t="shared" si="1"/>
        <v>17.307692307692307</v>
      </c>
    </row>
    <row r="5" spans="1:10">
      <c r="A5" s="2" t="s">
        <v>84</v>
      </c>
      <c r="B5" s="2">
        <v>20</v>
      </c>
      <c r="C5" s="2">
        <v>30</v>
      </c>
      <c r="D5">
        <v>50</v>
      </c>
      <c r="G5" s="2" t="s">
        <v>84</v>
      </c>
      <c r="H5">
        <f>D5*$B$6/$D$6</f>
        <v>30.76923076923077</v>
      </c>
      <c r="I5">
        <f t="shared" si="1"/>
        <v>19.23076923076923</v>
      </c>
    </row>
    <row r="6" spans="1:10">
      <c r="B6" s="2">
        <v>120</v>
      </c>
      <c r="C6" s="2">
        <v>75</v>
      </c>
      <c r="D6">
        <v>195</v>
      </c>
    </row>
    <row r="9" spans="1:10" ht="45">
      <c r="A9" s="1" t="s">
        <v>77</v>
      </c>
      <c r="B9" s="1" t="s">
        <v>78</v>
      </c>
      <c r="C9" s="1" t="s">
        <v>79</v>
      </c>
    </row>
    <row r="10" spans="1:10">
      <c r="A10" s="2" t="s">
        <v>81</v>
      </c>
      <c r="B10">
        <f>((B2-H2)^2)/H2</f>
        <v>2.7692307692307687</v>
      </c>
      <c r="C10">
        <f>((C2-I2)^2)/I2</f>
        <v>4.4307692307692301</v>
      </c>
      <c r="G10" t="s">
        <v>85</v>
      </c>
      <c r="H10">
        <f>SUM(B10:C13)</f>
        <v>19.193055555555556</v>
      </c>
    </row>
    <row r="11" spans="1:10">
      <c r="A11" s="2" t="s">
        <v>82</v>
      </c>
      <c r="B11">
        <f t="shared" ref="B11:B13" si="2">((B3-H3)^2)/H3</f>
        <v>0.58173076923076894</v>
      </c>
      <c r="C11">
        <f t="shared" ref="C11:C13" si="3">((C3-I3)^2)/I3</f>
        <v>0.93076923076923035</v>
      </c>
      <c r="G11" t="s">
        <v>25</v>
      </c>
      <c r="H11">
        <v>3</v>
      </c>
    </row>
    <row r="12" spans="1:10">
      <c r="A12" s="2" t="s">
        <v>83</v>
      </c>
      <c r="B12">
        <f t="shared" si="2"/>
        <v>0.26175213675213699</v>
      </c>
      <c r="C12">
        <f t="shared" si="3"/>
        <v>0.4188034188034192</v>
      </c>
      <c r="G12" t="s">
        <v>19</v>
      </c>
      <c r="H12">
        <f>_xlfn.CHISQ.DIST.RT(H10,3)</f>
        <v>2.4938504092177885E-4</v>
      </c>
    </row>
    <row r="13" spans="1:10">
      <c r="A13" s="2" t="s">
        <v>84</v>
      </c>
      <c r="B13">
        <f t="shared" si="2"/>
        <v>3.7692307692307696</v>
      </c>
      <c r="C13">
        <f t="shared" si="3"/>
        <v>6.0307692307692315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1288-5CC5-4147-AA21-CDA286894CAF}">
  <dimension ref="H1:Z111"/>
  <sheetViews>
    <sheetView workbookViewId="0">
      <selection activeCell="Y51" sqref="Y51"/>
    </sheetView>
  </sheetViews>
  <sheetFormatPr defaultRowHeight="15"/>
  <cols>
    <col min="8" max="8" width="19.140625" bestFit="1" customWidth="1"/>
    <col min="11" max="11" width="12" bestFit="1" customWidth="1"/>
    <col min="12" max="12" width="19.140625" bestFit="1" customWidth="1"/>
    <col min="14" max="14" width="14.42578125" bestFit="1" customWidth="1"/>
    <col min="17" max="17" width="10.7109375" bestFit="1" customWidth="1"/>
    <col min="18" max="18" width="12" bestFit="1" customWidth="1"/>
  </cols>
  <sheetData>
    <row r="1" spans="8:21" ht="36">
      <c r="H1" s="22" t="s">
        <v>86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8:21">
      <c r="H2" s="11" t="s">
        <v>87</v>
      </c>
      <c r="I2" s="11" t="s">
        <v>88</v>
      </c>
      <c r="J2" s="11" t="s">
        <v>89</v>
      </c>
      <c r="N2" s="23" t="s">
        <v>90</v>
      </c>
      <c r="O2" s="23"/>
      <c r="P2" s="14"/>
      <c r="Q2" t="s">
        <v>96</v>
      </c>
      <c r="R2">
        <f>O7*(((O3-O6)^2)+((O4-O6)^2)+((O5-O6)^2))</f>
        <v>349.73333333333312</v>
      </c>
    </row>
    <row r="3" spans="8:21">
      <c r="H3" s="12">
        <v>48</v>
      </c>
      <c r="I3" s="12">
        <v>55</v>
      </c>
      <c r="J3" s="13">
        <v>45</v>
      </c>
      <c r="N3" s="6" t="s">
        <v>95</v>
      </c>
      <c r="O3" s="6">
        <f>AVERAGE(H3:H7)</f>
        <v>49.2</v>
      </c>
      <c r="P3">
        <v>55.8</v>
      </c>
      <c r="Q3">
        <v>44</v>
      </c>
    </row>
    <row r="4" spans="8:21">
      <c r="H4" s="12">
        <v>52</v>
      </c>
      <c r="I4" s="12">
        <v>58</v>
      </c>
      <c r="J4" s="13">
        <v>44</v>
      </c>
      <c r="N4" s="6" t="s">
        <v>91</v>
      </c>
      <c r="O4" s="6">
        <f>AVERAGE(I3:I7)</f>
        <v>55.8</v>
      </c>
      <c r="Q4" s="6" t="s">
        <v>97</v>
      </c>
      <c r="R4" s="6" t="s">
        <v>98</v>
      </c>
      <c r="S4" s="6" t="s">
        <v>99</v>
      </c>
      <c r="T4" s="6" t="s">
        <v>100</v>
      </c>
    </row>
    <row r="5" spans="8:21">
      <c r="H5" s="12">
        <v>50</v>
      </c>
      <c r="I5" s="12">
        <v>53</v>
      </c>
      <c r="J5" s="13">
        <v>46</v>
      </c>
      <c r="N5" s="6" t="s">
        <v>92</v>
      </c>
      <c r="O5" s="6">
        <f>AVERAGE(J3:J7)</f>
        <v>44</v>
      </c>
      <c r="Q5" s="6"/>
      <c r="R5" s="6">
        <f>((O3-H3)^2)+((O3-H4)^2)+((O3-H5)^2)+((O3-H6)^2)+((O3-H7)^2)</f>
        <v>14.799999999999999</v>
      </c>
      <c r="S5" s="6">
        <f t="shared" ref="S5:T5" si="0">((P3-I3)^2)+((P3-I4)^2)+((P3-I5)^2)+((P3-I6)^2)+((P3-I7)^2)</f>
        <v>14.799999999999999</v>
      </c>
      <c r="T5" s="6">
        <f t="shared" si="0"/>
        <v>10</v>
      </c>
    </row>
    <row r="6" spans="8:21">
      <c r="H6" s="12">
        <v>47</v>
      </c>
      <c r="I6" s="12">
        <v>57</v>
      </c>
      <c r="J6" s="13">
        <v>43</v>
      </c>
      <c r="N6" s="6" t="s">
        <v>93</v>
      </c>
      <c r="O6" s="6">
        <f>AVERAGE(O3:O5)</f>
        <v>49.666666666666664</v>
      </c>
      <c r="Q6" s="6"/>
      <c r="R6" s="6"/>
      <c r="S6" s="6"/>
      <c r="T6" s="6"/>
    </row>
    <row r="7" spans="8:21">
      <c r="H7" s="12">
        <v>49</v>
      </c>
      <c r="I7" s="12">
        <v>56</v>
      </c>
      <c r="J7" s="13">
        <v>42</v>
      </c>
      <c r="N7" s="6" t="s">
        <v>15</v>
      </c>
      <c r="O7" s="6">
        <v>5</v>
      </c>
      <c r="Q7" s="6" t="s">
        <v>97</v>
      </c>
      <c r="R7" s="6">
        <f>SUM(R5:T5)</f>
        <v>39.599999999999994</v>
      </c>
      <c r="S7" s="6"/>
      <c r="T7" s="6"/>
    </row>
    <row r="8" spans="8:21">
      <c r="I8" s="15"/>
      <c r="J8" s="16"/>
      <c r="N8" s="6" t="s">
        <v>94</v>
      </c>
      <c r="O8" s="6">
        <v>15</v>
      </c>
    </row>
    <row r="9" spans="8:21">
      <c r="N9" s="6" t="s">
        <v>102</v>
      </c>
      <c r="O9" s="6">
        <v>3</v>
      </c>
      <c r="Q9" s="6" t="s">
        <v>101</v>
      </c>
      <c r="R9" s="6">
        <f>O9-1</f>
        <v>2</v>
      </c>
    </row>
    <row r="10" spans="8:21">
      <c r="H10" t="s">
        <v>109</v>
      </c>
      <c r="Q10" s="6" t="s">
        <v>103</v>
      </c>
      <c r="R10" s="6">
        <f>O8-O9</f>
        <v>12</v>
      </c>
    </row>
    <row r="12" spans="8:21" ht="15.75" thickBot="1">
      <c r="H12" t="s">
        <v>110</v>
      </c>
      <c r="Q12" s="6" t="s">
        <v>104</v>
      </c>
      <c r="R12" s="6">
        <f>R2/R9</f>
        <v>174.86666666666656</v>
      </c>
    </row>
    <row r="13" spans="8:21">
      <c r="H13" s="4" t="s">
        <v>111</v>
      </c>
      <c r="I13" s="4" t="s">
        <v>112</v>
      </c>
      <c r="J13" s="4" t="s">
        <v>113</v>
      </c>
      <c r="K13" s="4" t="s">
        <v>114</v>
      </c>
      <c r="L13" s="4" t="s">
        <v>39</v>
      </c>
      <c r="Q13" s="6" t="s">
        <v>105</v>
      </c>
      <c r="R13" s="6">
        <f>R7/R10</f>
        <v>3.2999999999999994</v>
      </c>
    </row>
    <row r="14" spans="8:21">
      <c r="H14" t="s">
        <v>87</v>
      </c>
      <c r="I14">
        <v>5</v>
      </c>
      <c r="J14">
        <v>246</v>
      </c>
      <c r="K14">
        <v>49.2</v>
      </c>
      <c r="L14">
        <v>3.6999999999999997</v>
      </c>
    </row>
    <row r="15" spans="8:21">
      <c r="H15" t="s">
        <v>88</v>
      </c>
      <c r="I15">
        <v>5</v>
      </c>
      <c r="J15">
        <v>279</v>
      </c>
      <c r="K15">
        <v>55.8</v>
      </c>
      <c r="L15">
        <v>3.6999999999999997</v>
      </c>
      <c r="Q15" s="6" t="s">
        <v>106</v>
      </c>
      <c r="R15" s="6">
        <f>R12/R13</f>
        <v>52.989898989898968</v>
      </c>
    </row>
    <row r="16" spans="8:21" ht="15.75" thickBot="1">
      <c r="H16" s="3" t="s">
        <v>89</v>
      </c>
      <c r="I16" s="3">
        <v>5</v>
      </c>
      <c r="J16" s="3">
        <v>220</v>
      </c>
      <c r="K16" s="3">
        <v>44</v>
      </c>
      <c r="L16" s="3">
        <v>2.5</v>
      </c>
      <c r="Q16" s="6" t="s">
        <v>107</v>
      </c>
      <c r="R16" s="6">
        <f>_xlfn.F.DIST.RT(R15,R9,R10)</f>
        <v>1.1072395424997995E-6</v>
      </c>
    </row>
    <row r="17" spans="8:26">
      <c r="Q17" s="6" t="s">
        <v>108</v>
      </c>
      <c r="R17" s="6">
        <f>_xlfn.F.INV.RT(0.05,R9,R10)</f>
        <v>3.8852938346523942</v>
      </c>
    </row>
    <row r="19" spans="8:26" ht="15.75" thickBot="1">
      <c r="H19" t="s">
        <v>115</v>
      </c>
    </row>
    <row r="20" spans="8:26">
      <c r="H20" s="4" t="s">
        <v>116</v>
      </c>
      <c r="I20" s="4" t="s">
        <v>117</v>
      </c>
      <c r="J20" s="4" t="s">
        <v>25</v>
      </c>
      <c r="K20" s="4" t="s">
        <v>118</v>
      </c>
      <c r="L20" s="4" t="s">
        <v>119</v>
      </c>
      <c r="M20" s="4" t="s">
        <v>120</v>
      </c>
      <c r="N20" s="4" t="s">
        <v>121</v>
      </c>
    </row>
    <row r="21" spans="8:26">
      <c r="H21" t="s">
        <v>122</v>
      </c>
      <c r="I21">
        <v>349.73333333333335</v>
      </c>
      <c r="J21">
        <v>2</v>
      </c>
      <c r="K21">
        <v>174.86666666666667</v>
      </c>
      <c r="L21">
        <v>52.989898989899004</v>
      </c>
      <c r="M21">
        <v>1.1072395424997954E-6</v>
      </c>
      <c r="N21">
        <v>3.8852938346523942</v>
      </c>
    </row>
    <row r="22" spans="8:26">
      <c r="H22" t="s">
        <v>123</v>
      </c>
      <c r="I22">
        <v>39.599999999999994</v>
      </c>
      <c r="J22">
        <v>12</v>
      </c>
      <c r="K22">
        <v>3.2999999999999994</v>
      </c>
    </row>
    <row r="24" spans="8:26" ht="15.75" thickBot="1">
      <c r="H24" s="3" t="s">
        <v>80</v>
      </c>
      <c r="I24" s="3">
        <v>389.33333333333337</v>
      </c>
      <c r="J24" s="3">
        <v>14</v>
      </c>
      <c r="K24" s="3"/>
      <c r="L24" s="3"/>
      <c r="M24" s="3"/>
      <c r="N24" s="3"/>
    </row>
    <row r="27" spans="8:26" ht="36">
      <c r="H27" s="22" t="s">
        <v>109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8:26" ht="30">
      <c r="H28" s="17" t="s">
        <v>124</v>
      </c>
      <c r="I28" s="1" t="s">
        <v>125</v>
      </c>
      <c r="J28" s="1" t="s">
        <v>126</v>
      </c>
      <c r="L28" t="s">
        <v>109</v>
      </c>
    </row>
    <row r="29" spans="8:26">
      <c r="H29" s="18">
        <v>78</v>
      </c>
      <c r="I29" s="2">
        <v>85</v>
      </c>
      <c r="J29" s="2">
        <v>82</v>
      </c>
    </row>
    <row r="30" spans="8:26" ht="15.75" thickBot="1">
      <c r="H30" s="18">
        <v>74</v>
      </c>
      <c r="I30" s="2">
        <v>90</v>
      </c>
      <c r="J30" s="2">
        <v>79</v>
      </c>
      <c r="L30" t="s">
        <v>110</v>
      </c>
    </row>
    <row r="31" spans="8:26">
      <c r="H31" s="18">
        <v>80</v>
      </c>
      <c r="I31" s="2">
        <v>88</v>
      </c>
      <c r="J31" s="2">
        <v>81</v>
      </c>
      <c r="L31" s="4" t="s">
        <v>111</v>
      </c>
      <c r="M31" s="4" t="s">
        <v>112</v>
      </c>
      <c r="N31" s="4" t="s">
        <v>113</v>
      </c>
      <c r="O31" s="4" t="s">
        <v>114</v>
      </c>
      <c r="P31" s="4" t="s">
        <v>39</v>
      </c>
    </row>
    <row r="32" spans="8:26">
      <c r="H32" s="18"/>
      <c r="I32" s="2">
        <v>76</v>
      </c>
      <c r="J32" s="2">
        <v>78</v>
      </c>
      <c r="L32" t="s">
        <v>124</v>
      </c>
      <c r="M32">
        <v>3</v>
      </c>
      <c r="N32">
        <v>232</v>
      </c>
      <c r="O32">
        <v>77.333333333333329</v>
      </c>
      <c r="P32">
        <v>9.3333333333333321</v>
      </c>
    </row>
    <row r="33" spans="8:26">
      <c r="H33" s="18"/>
      <c r="I33" s="2"/>
      <c r="J33" s="2">
        <v>75</v>
      </c>
      <c r="L33" t="s">
        <v>125</v>
      </c>
      <c r="M33">
        <v>4</v>
      </c>
      <c r="N33">
        <v>339</v>
      </c>
      <c r="O33">
        <v>84.75</v>
      </c>
      <c r="P33">
        <v>38.25</v>
      </c>
    </row>
    <row r="34" spans="8:26" ht="15.75" thickBot="1">
      <c r="L34" s="3" t="s">
        <v>126</v>
      </c>
      <c r="M34" s="3">
        <v>5</v>
      </c>
      <c r="N34" s="3">
        <v>395</v>
      </c>
      <c r="O34" s="3">
        <v>79</v>
      </c>
      <c r="P34" s="3">
        <v>7.5</v>
      </c>
    </row>
    <row r="37" spans="8:26">
      <c r="L37" t="s">
        <v>115</v>
      </c>
    </row>
    <row r="38" spans="8:26">
      <c r="T38" t="s">
        <v>109</v>
      </c>
    </row>
    <row r="40" spans="8:26" ht="15.75" thickBot="1">
      <c r="T40" t="s">
        <v>110</v>
      </c>
    </row>
    <row r="41" spans="8:26">
      <c r="T41" s="4" t="s">
        <v>111</v>
      </c>
      <c r="U41" s="4" t="s">
        <v>112</v>
      </c>
      <c r="V41" s="4" t="s">
        <v>113</v>
      </c>
      <c r="W41" s="4" t="s">
        <v>114</v>
      </c>
      <c r="X41" s="4" t="s">
        <v>39</v>
      </c>
    </row>
    <row r="42" spans="8:26">
      <c r="T42" t="s">
        <v>124</v>
      </c>
      <c r="U42">
        <v>3</v>
      </c>
      <c r="V42">
        <v>232</v>
      </c>
      <c r="W42">
        <v>77.333333333333329</v>
      </c>
      <c r="X42">
        <v>9.3333333333333321</v>
      </c>
    </row>
    <row r="43" spans="8:26">
      <c r="T43" t="s">
        <v>125</v>
      </c>
      <c r="U43">
        <v>4</v>
      </c>
      <c r="V43">
        <v>339</v>
      </c>
      <c r="W43">
        <v>84.75</v>
      </c>
      <c r="X43">
        <v>38.25</v>
      </c>
    </row>
    <row r="44" spans="8:26" ht="15.75" thickBot="1">
      <c r="T44" s="3" t="s">
        <v>126</v>
      </c>
      <c r="U44" s="3">
        <v>5</v>
      </c>
      <c r="V44" s="3">
        <v>395</v>
      </c>
      <c r="W44" s="3">
        <v>79</v>
      </c>
      <c r="X44" s="3">
        <v>7.5</v>
      </c>
    </row>
    <row r="47" spans="8:26" ht="15.75" thickBot="1">
      <c r="T47" t="s">
        <v>115</v>
      </c>
    </row>
    <row r="48" spans="8:26">
      <c r="T48" s="4" t="s">
        <v>116</v>
      </c>
      <c r="U48" s="4" t="s">
        <v>117</v>
      </c>
      <c r="V48" s="4" t="s">
        <v>25</v>
      </c>
      <c r="W48" s="4" t="s">
        <v>118</v>
      </c>
      <c r="X48" s="4" t="s">
        <v>119</v>
      </c>
      <c r="Y48" s="4" t="s">
        <v>120</v>
      </c>
      <c r="Z48" s="4" t="s">
        <v>121</v>
      </c>
    </row>
    <row r="49" spans="8:26">
      <c r="T49" t="s">
        <v>122</v>
      </c>
      <c r="U49">
        <v>113.58333333333334</v>
      </c>
      <c r="V49">
        <v>2</v>
      </c>
      <c r="W49">
        <v>56.791666666666671</v>
      </c>
      <c r="X49">
        <v>3.1277409484956662</v>
      </c>
      <c r="Y49">
        <v>9.3041050126659114E-2</v>
      </c>
      <c r="Z49">
        <v>4.2564947290937507</v>
      </c>
    </row>
    <row r="50" spans="8:26">
      <c r="T50" t="s">
        <v>123</v>
      </c>
      <c r="U50">
        <v>163.41666666666666</v>
      </c>
      <c r="V50">
        <v>9</v>
      </c>
      <c r="W50">
        <v>18.157407407407405</v>
      </c>
    </row>
    <row r="52" spans="8:26" ht="15.75" thickBot="1">
      <c r="T52" s="3" t="s">
        <v>80</v>
      </c>
      <c r="U52" s="3">
        <v>277</v>
      </c>
      <c r="V52" s="3">
        <v>11</v>
      </c>
      <c r="W52" s="3"/>
      <c r="X52" s="3"/>
      <c r="Y52" s="3"/>
      <c r="Z52" s="3"/>
    </row>
    <row r="53" spans="8:26">
      <c r="H53" s="4" t="s">
        <v>110</v>
      </c>
      <c r="I53" s="4" t="s">
        <v>112</v>
      </c>
      <c r="J53" s="4" t="s">
        <v>113</v>
      </c>
      <c r="K53" s="4" t="s">
        <v>114</v>
      </c>
      <c r="L53" s="4" t="s">
        <v>39</v>
      </c>
    </row>
    <row r="54" spans="8:26">
      <c r="H54" t="s">
        <v>131</v>
      </c>
      <c r="I54">
        <v>4</v>
      </c>
      <c r="J54">
        <v>46</v>
      </c>
      <c r="K54">
        <v>11.5</v>
      </c>
      <c r="L54">
        <v>1.6666666666666667</v>
      </c>
      <c r="Q54" s="17" t="s">
        <v>134</v>
      </c>
    </row>
    <row r="55" spans="8:26">
      <c r="H55" t="s">
        <v>132</v>
      </c>
      <c r="I55">
        <v>4</v>
      </c>
      <c r="J55">
        <v>58</v>
      </c>
      <c r="K55">
        <v>14.5</v>
      </c>
      <c r="L55">
        <v>1.6666666666666667</v>
      </c>
      <c r="Q55" t="s">
        <v>21</v>
      </c>
      <c r="R55" t="s">
        <v>135</v>
      </c>
    </row>
    <row r="56" spans="8:26">
      <c r="H56" t="s">
        <v>133</v>
      </c>
      <c r="I56">
        <v>4</v>
      </c>
      <c r="J56">
        <v>34</v>
      </c>
      <c r="K56">
        <v>8.5</v>
      </c>
      <c r="L56">
        <v>1.6666666666666667</v>
      </c>
      <c r="Q56" t="s">
        <v>136</v>
      </c>
      <c r="R56" t="s">
        <v>137</v>
      </c>
    </row>
    <row r="58" spans="8:26">
      <c r="H58" t="s">
        <v>127</v>
      </c>
      <c r="I58">
        <v>3</v>
      </c>
      <c r="J58">
        <v>33</v>
      </c>
      <c r="K58">
        <v>11</v>
      </c>
      <c r="L58">
        <v>7</v>
      </c>
      <c r="Q58" s="19" t="s">
        <v>138</v>
      </c>
    </row>
    <row r="59" spans="8:26">
      <c r="H59" t="s">
        <v>128</v>
      </c>
      <c r="I59">
        <v>3</v>
      </c>
      <c r="J59">
        <v>35</v>
      </c>
      <c r="K59">
        <v>11.666666666666666</v>
      </c>
      <c r="L59">
        <v>12.333333333333343</v>
      </c>
      <c r="Q59" t="s">
        <v>21</v>
      </c>
      <c r="R59" t="s">
        <v>139</v>
      </c>
    </row>
    <row r="60" spans="8:26">
      <c r="H60" t="s">
        <v>129</v>
      </c>
      <c r="I60">
        <v>3</v>
      </c>
      <c r="J60">
        <v>34</v>
      </c>
      <c r="K60">
        <v>11.333333333333334</v>
      </c>
      <c r="L60">
        <v>2.3333333333333428</v>
      </c>
      <c r="Q60" t="s">
        <v>136</v>
      </c>
      <c r="R60" t="s">
        <v>140</v>
      </c>
    </row>
    <row r="61" spans="8:26" ht="15.75" thickBot="1">
      <c r="H61" s="3" t="s">
        <v>130</v>
      </c>
      <c r="I61" s="3">
        <v>3</v>
      </c>
      <c r="J61" s="3">
        <v>36</v>
      </c>
      <c r="K61" s="3">
        <v>12</v>
      </c>
      <c r="L61" s="3">
        <v>21</v>
      </c>
    </row>
    <row r="64" spans="8:26" ht="15.75" thickBot="1">
      <c r="H64" t="s">
        <v>115</v>
      </c>
    </row>
    <row r="65" spans="8:24">
      <c r="H65" s="4" t="s">
        <v>116</v>
      </c>
      <c r="I65" s="4" t="s">
        <v>117</v>
      </c>
      <c r="J65" s="4" t="s">
        <v>25</v>
      </c>
      <c r="K65" s="4" t="s">
        <v>118</v>
      </c>
      <c r="L65" s="4" t="s">
        <v>119</v>
      </c>
      <c r="M65" s="4" t="s">
        <v>120</v>
      </c>
      <c r="N65" s="4" t="s">
        <v>121</v>
      </c>
    </row>
    <row r="66" spans="8:24">
      <c r="H66" t="s">
        <v>141</v>
      </c>
      <c r="I66">
        <v>72</v>
      </c>
      <c r="J66">
        <v>2</v>
      </c>
      <c r="K66">
        <v>36</v>
      </c>
      <c r="L66">
        <v>16.200000000000006</v>
      </c>
      <c r="M66">
        <v>3.8146972656249965E-3</v>
      </c>
      <c r="N66">
        <v>5.1432528497847176</v>
      </c>
    </row>
    <row r="67" spans="8:24">
      <c r="H67" t="s">
        <v>142</v>
      </c>
      <c r="I67">
        <v>1.6666666666666714</v>
      </c>
      <c r="J67">
        <v>3</v>
      </c>
      <c r="K67">
        <v>0.55555555555555713</v>
      </c>
      <c r="L67">
        <v>0.25000000000000078</v>
      </c>
      <c r="M67">
        <v>0.85871056241426558</v>
      </c>
      <c r="N67">
        <v>4.7570626630894131</v>
      </c>
    </row>
    <row r="68" spans="8:24">
      <c r="H68" t="s">
        <v>143</v>
      </c>
      <c r="I68">
        <v>13.333333333333329</v>
      </c>
      <c r="J68">
        <v>6</v>
      </c>
      <c r="K68">
        <v>2.2222222222222214</v>
      </c>
    </row>
    <row r="70" spans="8:24" ht="15.75" thickBot="1">
      <c r="H70" s="3" t="s">
        <v>80</v>
      </c>
      <c r="I70" s="3">
        <v>87</v>
      </c>
      <c r="J70" s="3">
        <v>11</v>
      </c>
      <c r="K70" s="3"/>
      <c r="L70" s="3"/>
      <c r="M70" s="3"/>
      <c r="N70" s="3"/>
    </row>
    <row r="73" spans="8:24" ht="36">
      <c r="H73" s="22" t="s">
        <v>144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8:24" ht="30">
      <c r="H74" s="1" t="s">
        <v>145</v>
      </c>
      <c r="I74" s="1" t="s">
        <v>146</v>
      </c>
      <c r="J74" s="1" t="s">
        <v>147</v>
      </c>
    </row>
    <row r="75" spans="8:24">
      <c r="H75" s="20" t="s">
        <v>148</v>
      </c>
      <c r="I75" s="2">
        <v>85</v>
      </c>
      <c r="J75" s="2">
        <v>78</v>
      </c>
    </row>
    <row r="76" spans="8:24">
      <c r="H76" s="20" t="s">
        <v>149</v>
      </c>
      <c r="I76" s="2">
        <v>88</v>
      </c>
      <c r="J76" s="2">
        <v>74</v>
      </c>
    </row>
    <row r="77" spans="8:24">
      <c r="H77" s="20" t="s">
        <v>150</v>
      </c>
      <c r="I77" s="2">
        <v>90</v>
      </c>
      <c r="J77" s="2">
        <v>76</v>
      </c>
    </row>
    <row r="78" spans="8:24">
      <c r="H78" s="20" t="s">
        <v>151</v>
      </c>
      <c r="I78" s="2">
        <v>92</v>
      </c>
      <c r="J78" s="2">
        <v>82</v>
      </c>
    </row>
    <row r="79" spans="8:24">
      <c r="H79" s="20" t="s">
        <v>152</v>
      </c>
      <c r="I79" s="2">
        <v>95</v>
      </c>
      <c r="J79" s="2">
        <v>85</v>
      </c>
    </row>
    <row r="80" spans="8:24">
      <c r="H80" s="20" t="s">
        <v>153</v>
      </c>
      <c r="I80" s="2">
        <v>93</v>
      </c>
      <c r="J80" s="2">
        <v>80</v>
      </c>
    </row>
    <row r="82" spans="8:11">
      <c r="H82" t="s">
        <v>144</v>
      </c>
    </row>
    <row r="84" spans="8:11">
      <c r="H84" t="s">
        <v>110</v>
      </c>
      <c r="I84" t="s">
        <v>146</v>
      </c>
      <c r="J84" t="s">
        <v>147</v>
      </c>
      <c r="K84" t="s">
        <v>80</v>
      </c>
    </row>
    <row r="85" spans="8:11" ht="15.75" thickBot="1">
      <c r="H85" s="21" t="s">
        <v>148</v>
      </c>
      <c r="I85" s="21"/>
      <c r="J85" s="21"/>
      <c r="K85" s="21"/>
    </row>
    <row r="86" spans="8:11">
      <c r="H86" t="s">
        <v>112</v>
      </c>
      <c r="I86">
        <v>3</v>
      </c>
      <c r="J86">
        <v>3</v>
      </c>
      <c r="K86">
        <v>6</v>
      </c>
    </row>
    <row r="87" spans="8:11">
      <c r="H87" t="s">
        <v>113</v>
      </c>
      <c r="I87">
        <v>263</v>
      </c>
      <c r="J87">
        <v>228</v>
      </c>
      <c r="K87">
        <v>491</v>
      </c>
    </row>
    <row r="88" spans="8:11">
      <c r="H88" t="s">
        <v>114</v>
      </c>
      <c r="I88">
        <v>87.666666666666671</v>
      </c>
      <c r="J88">
        <v>76</v>
      </c>
      <c r="K88">
        <v>81.833333333333329</v>
      </c>
    </row>
    <row r="89" spans="8:11">
      <c r="H89" t="s">
        <v>39</v>
      </c>
      <c r="I89">
        <v>6.3333333333333339</v>
      </c>
      <c r="J89">
        <v>4</v>
      </c>
      <c r="K89">
        <v>44.966666666666661</v>
      </c>
    </row>
    <row r="91" spans="8:11" ht="15.75" thickBot="1">
      <c r="H91" s="21" t="s">
        <v>151</v>
      </c>
      <c r="I91" s="21"/>
      <c r="J91" s="21"/>
      <c r="K91" s="21"/>
    </row>
    <row r="92" spans="8:11">
      <c r="H92" t="s">
        <v>112</v>
      </c>
      <c r="I92">
        <v>3</v>
      </c>
      <c r="J92">
        <v>3</v>
      </c>
      <c r="K92">
        <v>6</v>
      </c>
    </row>
    <row r="93" spans="8:11">
      <c r="H93" t="s">
        <v>113</v>
      </c>
      <c r="I93">
        <v>280</v>
      </c>
      <c r="J93">
        <v>247</v>
      </c>
      <c r="K93">
        <v>527</v>
      </c>
    </row>
    <row r="94" spans="8:11">
      <c r="H94" t="s">
        <v>114</v>
      </c>
      <c r="I94">
        <v>93.333333333333329</v>
      </c>
      <c r="J94">
        <v>82.333333333333329</v>
      </c>
      <c r="K94">
        <v>87.833333333333329</v>
      </c>
    </row>
    <row r="95" spans="8:11">
      <c r="H95" t="s">
        <v>39</v>
      </c>
      <c r="I95">
        <v>2.3333333333333335</v>
      </c>
      <c r="J95">
        <v>6.3333333333333339</v>
      </c>
      <c r="K95">
        <v>39.766666666666666</v>
      </c>
    </row>
    <row r="97" spans="8:14" ht="15.75" thickBot="1">
      <c r="H97" s="21" t="s">
        <v>80</v>
      </c>
      <c r="I97" s="21"/>
      <c r="J97" s="21"/>
      <c r="K97" s="21"/>
    </row>
    <row r="98" spans="8:14">
      <c r="H98" t="s">
        <v>112</v>
      </c>
      <c r="I98">
        <v>6</v>
      </c>
      <c r="J98">
        <v>6</v>
      </c>
    </row>
    <row r="99" spans="8:14">
      <c r="H99" t="s">
        <v>113</v>
      </c>
      <c r="I99">
        <v>543</v>
      </c>
      <c r="J99">
        <v>475</v>
      </c>
    </row>
    <row r="100" spans="8:14">
      <c r="H100" t="s">
        <v>114</v>
      </c>
      <c r="I100">
        <v>90.5</v>
      </c>
      <c r="J100">
        <v>79.166666666666671</v>
      </c>
    </row>
    <row r="101" spans="8:14">
      <c r="H101" t="s">
        <v>39</v>
      </c>
      <c r="I101">
        <v>13.1</v>
      </c>
      <c r="J101">
        <v>16.166666666666664</v>
      </c>
    </row>
    <row r="104" spans="8:14" ht="15.75" thickBot="1">
      <c r="H104" t="s">
        <v>115</v>
      </c>
    </row>
    <row r="105" spans="8:14">
      <c r="H105" s="4" t="s">
        <v>116</v>
      </c>
      <c r="I105" s="4" t="s">
        <v>117</v>
      </c>
      <c r="J105" s="4" t="s">
        <v>25</v>
      </c>
      <c r="K105" s="4" t="s">
        <v>118</v>
      </c>
      <c r="L105" s="4" t="s">
        <v>119</v>
      </c>
      <c r="M105" s="4" t="s">
        <v>120</v>
      </c>
      <c r="N105" s="4" t="s">
        <v>121</v>
      </c>
    </row>
    <row r="106" spans="8:14">
      <c r="H106" t="s">
        <v>154</v>
      </c>
      <c r="I106">
        <v>108</v>
      </c>
      <c r="J106">
        <v>1</v>
      </c>
      <c r="K106">
        <v>108</v>
      </c>
      <c r="L106">
        <v>22.736842105263158</v>
      </c>
      <c r="M106">
        <v>1.411655879744801E-3</v>
      </c>
      <c r="N106">
        <v>5.3176550715787174</v>
      </c>
    </row>
    <row r="107" spans="8:14">
      <c r="H107" t="s">
        <v>142</v>
      </c>
      <c r="I107">
        <v>385.33333333333331</v>
      </c>
      <c r="J107">
        <v>1</v>
      </c>
      <c r="K107">
        <v>385.33333333333331</v>
      </c>
      <c r="L107">
        <v>81.122807017543849</v>
      </c>
      <c r="M107">
        <v>1.8428266072037684E-5</v>
      </c>
      <c r="N107">
        <v>5.3176550715787174</v>
      </c>
    </row>
    <row r="108" spans="8:14">
      <c r="H108" t="s">
        <v>155</v>
      </c>
      <c r="I108">
        <v>0.33333333333331439</v>
      </c>
      <c r="J108">
        <v>1</v>
      </c>
      <c r="K108">
        <v>0.33333333333331439</v>
      </c>
      <c r="L108">
        <v>7.0175438596487241E-2</v>
      </c>
      <c r="M108">
        <v>0.7977791241406702</v>
      </c>
      <c r="N108">
        <v>5.3176550715787174</v>
      </c>
    </row>
    <row r="109" spans="8:14">
      <c r="H109" t="s">
        <v>156</v>
      </c>
      <c r="I109">
        <v>38</v>
      </c>
      <c r="J109">
        <v>8</v>
      </c>
      <c r="K109">
        <v>4.75</v>
      </c>
    </row>
    <row r="111" spans="8:14" ht="15.75" thickBot="1">
      <c r="H111" s="3" t="s">
        <v>80</v>
      </c>
      <c r="I111" s="3">
        <v>531.66666666666663</v>
      </c>
      <c r="J111" s="3">
        <v>11</v>
      </c>
      <c r="K111" s="3"/>
      <c r="L111" s="3"/>
      <c r="M111" s="3"/>
      <c r="N111" s="3"/>
    </row>
  </sheetData>
  <mergeCells count="4">
    <mergeCell ref="H73:X73"/>
    <mergeCell ref="N2:O2"/>
    <mergeCell ref="H1:U1"/>
    <mergeCell ref="H27:Z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Descriptive </vt:lpstr>
      <vt:lpstr>frequency distribution</vt:lpstr>
      <vt:lpstr>one sample t - test</vt:lpstr>
      <vt:lpstr>independent-2 sample t test</vt:lpstr>
      <vt:lpstr>paired t - test</vt:lpstr>
      <vt:lpstr>Z - test</vt:lpstr>
      <vt:lpstr>chi-square</vt:lpstr>
      <vt:lpstr>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</dc:creator>
  <cp:lastModifiedBy>BCS</cp:lastModifiedBy>
  <dcterms:created xsi:type="dcterms:W3CDTF">2025-11-11T10:35:16Z</dcterms:created>
  <dcterms:modified xsi:type="dcterms:W3CDTF">2025-11-28T13:12:47Z</dcterms:modified>
</cp:coreProperties>
</file>